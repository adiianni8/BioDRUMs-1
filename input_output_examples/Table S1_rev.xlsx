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Bioanalytical\LC_MS&amp;FD\LC_MS\Projects\Data automation\Paper\"/>
    </mc:Choice>
  </mc:AlternateContent>
  <xr:revisionPtr revIDLastSave="0" documentId="8_{79D9F627-61F2-4621-9BDD-1114E30F48DA}" xr6:coauthVersionLast="47" xr6:coauthVersionMax="47" xr10:uidLastSave="{00000000-0000-0000-0000-000000000000}"/>
  <bookViews>
    <workbookView xWindow="-28920" yWindow="-120" windowWidth="29040" windowHeight="15720" activeTab="2" xr2:uid="{195E9A6E-B6B0-4302-9211-C23E126780CF}"/>
  </bookViews>
  <sheets>
    <sheet name="Example" sheetId="1" r:id="rId1"/>
    <sheet name="Example (2)" sheetId="3" r:id="rId2"/>
    <sheet name="summary_results_SST_AD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C8" i="4"/>
  <c r="B20" i="3"/>
  <c r="B19" i="3"/>
  <c r="B18" i="3"/>
  <c r="B17" i="3"/>
  <c r="C11" i="3"/>
  <c r="B10" i="3"/>
  <c r="J25" i="3" s="1"/>
  <c r="B8" i="3"/>
  <c r="B7" i="3"/>
  <c r="B6" i="3"/>
  <c r="B5" i="3"/>
  <c r="B5" i="1" l="1"/>
  <c r="B7" i="1"/>
  <c r="B8" i="1"/>
  <c r="B6" i="1"/>
  <c r="B14" i="1"/>
  <c r="B13" i="1"/>
  <c r="B12" i="1"/>
  <c r="B10" i="1"/>
  <c r="B19" i="1"/>
  <c r="B20" i="1"/>
  <c r="B18" i="1"/>
  <c r="B17" i="1"/>
  <c r="C11" i="1"/>
</calcChain>
</file>

<file path=xl/sharedStrings.xml><?xml version="1.0" encoding="utf-8"?>
<sst xmlns="http://schemas.openxmlformats.org/spreadsheetml/2006/main" count="375" uniqueCount="176">
  <si>
    <t>Antibody Mass 1 (Da):</t>
  </si>
  <si>
    <t>Antibody Mass 2 (Da):</t>
  </si>
  <si>
    <t>Antibody Mass 3 (Da):</t>
  </si>
  <si>
    <t>Antibody Mass 4 (Da):</t>
  </si>
  <si>
    <t>Antibody Mass 5 (Da):</t>
  </si>
  <si>
    <t>DAR</t>
  </si>
  <si>
    <t>Delta Mass (Da)</t>
  </si>
  <si>
    <t>Degradation Mass 1 (Da):</t>
  </si>
  <si>
    <t>Linker Payload Mass (Da):</t>
  </si>
  <si>
    <t>Degradation Mass 2 (Da):</t>
  </si>
  <si>
    <t>Degradation Mass 3 (Da):</t>
  </si>
  <si>
    <t>Degradation Mass 4 (Da):</t>
  </si>
  <si>
    <t>Degradation Mass 5 (Da):</t>
  </si>
  <si>
    <t>A2G0F</t>
  </si>
  <si>
    <t>A2G0F (Da):</t>
  </si>
  <si>
    <t>A2G0 (Da):</t>
  </si>
  <si>
    <t>A2G1F (Da):</t>
  </si>
  <si>
    <t>A2G2F (Da):</t>
  </si>
  <si>
    <t>Accuracy (ppm):</t>
  </si>
  <si>
    <t>Number of Cysteines:</t>
  </si>
  <si>
    <t>Please insert these values in Deconvoluted Mass finder.py GUI</t>
  </si>
  <si>
    <t>amino acid</t>
  </si>
  <si>
    <t>code</t>
  </si>
  <si>
    <t>abbrev</t>
  </si>
  <si>
    <t>composition</t>
  </si>
  <si>
    <t>mono mass</t>
  </si>
  <si>
    <t>avg mass</t>
  </si>
  <si>
    <t>glycine</t>
  </si>
  <si>
    <t>G</t>
  </si>
  <si>
    <t>GLY</t>
  </si>
  <si>
    <t>alanine</t>
  </si>
  <si>
    <t>A</t>
  </si>
  <si>
    <t>ALA</t>
  </si>
  <si>
    <t>serine</t>
  </si>
  <si>
    <t>S</t>
  </si>
  <si>
    <t>SER</t>
  </si>
  <si>
    <t>proline</t>
  </si>
  <si>
    <t>P</t>
  </si>
  <si>
    <t>PRO</t>
  </si>
  <si>
    <t>valine</t>
  </si>
  <si>
    <t>V</t>
  </si>
  <si>
    <t>VAL</t>
  </si>
  <si>
    <t>threonine</t>
  </si>
  <si>
    <t>T</t>
  </si>
  <si>
    <t>THR</t>
  </si>
  <si>
    <t>cysteine</t>
  </si>
  <si>
    <t>C</t>
  </si>
  <si>
    <t>CYS</t>
  </si>
  <si>
    <t>leucine</t>
  </si>
  <si>
    <t>L</t>
  </si>
  <si>
    <t>LEU</t>
  </si>
  <si>
    <t>isoleucine</t>
  </si>
  <si>
    <t>I</t>
  </si>
  <si>
    <t>ILE</t>
  </si>
  <si>
    <t>asparagine</t>
  </si>
  <si>
    <t>N</t>
  </si>
  <si>
    <t>ASN</t>
  </si>
  <si>
    <t>aspartic acid</t>
  </si>
  <si>
    <t>D</t>
  </si>
  <si>
    <t>ASP</t>
  </si>
  <si>
    <t>glutamine</t>
  </si>
  <si>
    <t>Q</t>
  </si>
  <si>
    <t>GLN</t>
  </si>
  <si>
    <t>lysine</t>
  </si>
  <si>
    <t>K</t>
  </si>
  <si>
    <t>LYS</t>
  </si>
  <si>
    <t>glutamic acid</t>
  </si>
  <si>
    <t>E</t>
  </si>
  <si>
    <t>GLU</t>
  </si>
  <si>
    <t>methionine</t>
  </si>
  <si>
    <t>M</t>
  </si>
  <si>
    <t>MET</t>
  </si>
  <si>
    <t>histidine</t>
  </si>
  <si>
    <t>H</t>
  </si>
  <si>
    <t>HIS</t>
  </si>
  <si>
    <t>phenylalanine</t>
  </si>
  <si>
    <t>F</t>
  </si>
  <si>
    <t>PHE</t>
  </si>
  <si>
    <t>selenocysteine</t>
  </si>
  <si>
    <t>U</t>
  </si>
  <si>
    <t>SEC</t>
  </si>
  <si>
    <t>arginine</t>
  </si>
  <si>
    <t>R</t>
  </si>
  <si>
    <t>ARG</t>
  </si>
  <si>
    <t>tyrosine</t>
  </si>
  <si>
    <t>Y</t>
  </si>
  <si>
    <t>TYR</t>
  </si>
  <si>
    <t>tryptophan</t>
  </si>
  <si>
    <t>W</t>
  </si>
  <si>
    <t>TRP</t>
  </si>
  <si>
    <t>pyrrolysine</t>
  </si>
  <si>
    <t>O</t>
  </si>
  <si>
    <t>PYL</t>
  </si>
  <si>
    <t>C2H3NO</t>
  </si>
  <si>
    <t>C3H5NO</t>
  </si>
  <si>
    <t>C3H5NO2</t>
  </si>
  <si>
    <t>C5H7NO</t>
  </si>
  <si>
    <t>C5H9NO</t>
  </si>
  <si>
    <t>C4H7NO2</t>
  </si>
  <si>
    <t>C3H5NOS</t>
  </si>
  <si>
    <t>C6H11NO</t>
  </si>
  <si>
    <t>C4H6N2O2</t>
  </si>
  <si>
    <t>C4H5NO3</t>
  </si>
  <si>
    <t>C5H8N2O2</t>
  </si>
  <si>
    <t>C6H12N2O</t>
  </si>
  <si>
    <t>C5H7NO3</t>
  </si>
  <si>
    <t>C5H9NOS</t>
  </si>
  <si>
    <t>C6H7N3O</t>
  </si>
  <si>
    <t>C9H9NO</t>
  </si>
  <si>
    <t>C3H5NOSe</t>
  </si>
  <si>
    <t>C6H12N4O</t>
  </si>
  <si>
    <t>C9H9NO2</t>
  </si>
  <si>
    <t>C11H10N2O</t>
  </si>
  <si>
    <t>C12H19N3O2</t>
  </si>
  <si>
    <t>UWPR</t>
  </si>
  <si>
    <t>element</t>
  </si>
  <si>
    <t>Hydrogen</t>
  </si>
  <si>
    <t>Carbon</t>
  </si>
  <si>
    <t>Nitrogen</t>
  </si>
  <si>
    <t>Oxygen</t>
  </si>
  <si>
    <t>Phosphorus</t>
  </si>
  <si>
    <t>Sulphur</t>
  </si>
  <si>
    <t>Selenium</t>
  </si>
  <si>
    <t>Se</t>
  </si>
  <si>
    <t>proton</t>
  </si>
  <si>
    <r>
      <t>H</t>
    </r>
    <r>
      <rPr>
        <vertAlign val="superscript"/>
        <sz val="11"/>
        <color theme="1"/>
        <rFont val="Aptos Narrow"/>
        <family val="2"/>
        <scheme val="minor"/>
      </rPr>
      <t>+</t>
    </r>
  </si>
  <si>
    <t>IgG1 average MW</t>
  </si>
  <si>
    <t>IgG1 -1Lys HC  C-clipping</t>
  </si>
  <si>
    <t>IgG1 -2Lys HC  C-clipping</t>
  </si>
  <si>
    <t>IgG1 -2GlyLys HC  C-clipping</t>
  </si>
  <si>
    <t>IgG1 -1pyroQ HC N-terminus</t>
  </si>
  <si>
    <t>Comment</t>
  </si>
  <si>
    <t>ammonia loss for Transglutaminase conjugation, no delta mass for cysteines addition</t>
  </si>
  <si>
    <t>Number of total cysteines involved in disulphide bond/ linker payload conjugation</t>
  </si>
  <si>
    <t>Insert the highest DAR theoretically present in the sample, based on conjugation type (it will calculate DAR species from 4 to 0)</t>
  </si>
  <si>
    <t>glycan</t>
  </si>
  <si>
    <t>A2G1F</t>
  </si>
  <si>
    <t>A2G2F</t>
  </si>
  <si>
    <t>A2G0</t>
  </si>
  <si>
    <t>Insert intact linker payload average mass</t>
  </si>
  <si>
    <t xml:space="preserve">Insert degradation mass 1 w/o delta mass correction </t>
  </si>
  <si>
    <t xml:space="preserve">Insert degradation mass 2 w/o delta mass correction </t>
  </si>
  <si>
    <t xml:space="preserve">Insert degradation mass 3 w/o delta mass correction </t>
  </si>
  <si>
    <t xml:space="preserve">Insert degradation mass 4 w/o delta mass correction </t>
  </si>
  <si>
    <r>
      <t>Formula: C</t>
    </r>
    <r>
      <rPr>
        <b/>
        <vertAlign val="subscript"/>
        <sz val="12"/>
        <color theme="1"/>
        <rFont val="Monospaced"/>
      </rPr>
      <t>68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105</t>
    </r>
    <r>
      <rPr>
        <b/>
        <sz val="12"/>
        <color theme="1"/>
        <rFont val="Monospaced"/>
      </rPr>
      <t>N</t>
    </r>
    <r>
      <rPr>
        <b/>
        <vertAlign val="subscript"/>
        <sz val="12"/>
        <color theme="1"/>
        <rFont val="Monospaced"/>
      </rPr>
      <t>11</t>
    </r>
    <r>
      <rPr>
        <b/>
        <sz val="12"/>
        <color theme="1"/>
        <rFont val="Monospaced"/>
      </rPr>
      <t>O</t>
    </r>
    <r>
      <rPr>
        <b/>
        <vertAlign val="subscript"/>
        <sz val="12"/>
        <color theme="1"/>
        <rFont val="Monospaced"/>
      </rPr>
      <t>15</t>
    </r>
  </si>
  <si>
    <t>Intact linker payload</t>
  </si>
  <si>
    <t xml:space="preserve">Molecular weight: </t>
  </si>
  <si>
    <t xml:space="preserve">Exact molecular weight: </t>
  </si>
  <si>
    <r>
      <t>Formula: C</t>
    </r>
    <r>
      <rPr>
        <b/>
        <vertAlign val="subscript"/>
        <sz val="12"/>
        <color theme="1"/>
        <rFont val="Monospaced"/>
      </rPr>
      <t>10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13</t>
    </r>
    <r>
      <rPr>
        <b/>
        <sz val="12"/>
        <color theme="1"/>
        <rFont val="Monospaced"/>
      </rPr>
      <t>NO</t>
    </r>
    <r>
      <rPr>
        <b/>
        <vertAlign val="subscript"/>
        <sz val="12"/>
        <color theme="1"/>
        <rFont val="Monospaced"/>
      </rPr>
      <t>4</t>
    </r>
  </si>
  <si>
    <r>
      <t>Formula: C</t>
    </r>
    <r>
      <rPr>
        <b/>
        <vertAlign val="subscript"/>
        <sz val="12"/>
        <color theme="1"/>
        <rFont val="Monospaced"/>
      </rPr>
      <t>15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22</t>
    </r>
    <r>
      <rPr>
        <b/>
        <sz val="12"/>
        <color theme="1"/>
        <rFont val="Monospaced"/>
      </rPr>
      <t>N</t>
    </r>
    <r>
      <rPr>
        <b/>
        <vertAlign val="subscript"/>
        <sz val="12"/>
        <color theme="1"/>
        <rFont val="Monospaced"/>
      </rPr>
      <t>2</t>
    </r>
    <r>
      <rPr>
        <b/>
        <sz val="12"/>
        <color theme="1"/>
        <rFont val="Monospaced"/>
      </rPr>
      <t>O</t>
    </r>
    <r>
      <rPr>
        <b/>
        <vertAlign val="subscript"/>
        <sz val="12"/>
        <color theme="1"/>
        <rFont val="Monospaced"/>
      </rPr>
      <t>5</t>
    </r>
  </si>
  <si>
    <t>Molecular weight:</t>
  </si>
  <si>
    <r>
      <t>Formula: C</t>
    </r>
    <r>
      <rPr>
        <b/>
        <vertAlign val="subscript"/>
        <sz val="12"/>
        <color theme="1"/>
        <rFont val="Monospaced"/>
      </rPr>
      <t>21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33</t>
    </r>
    <r>
      <rPr>
        <b/>
        <sz val="12"/>
        <color theme="1"/>
        <rFont val="Monospaced"/>
      </rPr>
      <t>N</t>
    </r>
    <r>
      <rPr>
        <b/>
        <vertAlign val="subscript"/>
        <sz val="12"/>
        <color theme="1"/>
        <rFont val="Monospaced"/>
      </rPr>
      <t>5</t>
    </r>
    <r>
      <rPr>
        <b/>
        <sz val="12"/>
        <color theme="1"/>
        <rFont val="Monospaced"/>
      </rPr>
      <t>O</t>
    </r>
    <r>
      <rPr>
        <b/>
        <vertAlign val="subscript"/>
        <sz val="12"/>
        <color theme="1"/>
        <rFont val="Monospaced"/>
      </rPr>
      <t>7</t>
    </r>
  </si>
  <si>
    <r>
      <t>Formula: C</t>
    </r>
    <r>
      <rPr>
        <b/>
        <vertAlign val="subscript"/>
        <sz val="12"/>
        <color theme="1"/>
        <rFont val="Monospaced"/>
      </rPr>
      <t>28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40</t>
    </r>
    <r>
      <rPr>
        <b/>
        <sz val="12"/>
        <color theme="1"/>
        <rFont val="Monospaced"/>
      </rPr>
      <t>N</t>
    </r>
    <r>
      <rPr>
        <b/>
        <vertAlign val="subscript"/>
        <sz val="12"/>
        <color theme="1"/>
        <rFont val="Monospaced"/>
      </rPr>
      <t>6</t>
    </r>
    <r>
      <rPr>
        <b/>
        <sz val="12"/>
        <color theme="1"/>
        <rFont val="Monospaced"/>
      </rPr>
      <t>O</t>
    </r>
    <r>
      <rPr>
        <b/>
        <vertAlign val="subscript"/>
        <sz val="12"/>
        <color theme="1"/>
        <rFont val="Monospaced"/>
      </rPr>
      <t>7</t>
    </r>
  </si>
  <si>
    <t>Insert degradation mass 5 w/o delta mass correction, put zero if no other modifications on linker payload are hypotesized</t>
  </si>
  <si>
    <t>Amino acid loss (for heavy chain C-clipping proteoforms)</t>
  </si>
  <si>
    <t>Degradation Mass 1 (Da): (Linker-specific)</t>
  </si>
  <si>
    <t>Degradation Mass 2 (Da): (Linker-specific)</t>
  </si>
  <si>
    <t>Degradation Mass 3 (Da): (Linker-specific)</t>
  </si>
  <si>
    <t>Degradation Mass 4 (Da): (Linker-specific)</t>
  </si>
  <si>
    <t>Degradation Mass 5 (Da): (Linker-specific)</t>
  </si>
  <si>
    <t>Degradation Mass 1 (Da): (Payload-specific)</t>
  </si>
  <si>
    <t>Degradation Mass 2 (Da): (Payload-specific)</t>
  </si>
  <si>
    <t>Degradation Mass 3 (Da): (Payload-specific)</t>
  </si>
  <si>
    <t>Degradation Mass 4 (Da): (Payload-specific)</t>
  </si>
  <si>
    <t>Degradation Mass 5 (Da): (Payload-specific)</t>
  </si>
  <si>
    <r>
      <t>Formula: C</t>
    </r>
    <r>
      <rPr>
        <b/>
        <vertAlign val="subscript"/>
        <sz val="12"/>
        <color theme="1"/>
        <rFont val="Monospaced"/>
      </rPr>
      <t>28</t>
    </r>
    <r>
      <rPr>
        <b/>
        <sz val="12"/>
        <color theme="1"/>
        <rFont val="Monospaced"/>
      </rPr>
      <t>H</t>
    </r>
    <r>
      <rPr>
        <b/>
        <vertAlign val="subscript"/>
        <sz val="12"/>
        <color theme="1"/>
        <rFont val="Monospaced"/>
      </rPr>
      <t>38</t>
    </r>
    <r>
      <rPr>
        <b/>
        <sz val="12"/>
        <color theme="1"/>
        <rFont val="Monospaced"/>
      </rPr>
      <t>N</t>
    </r>
    <r>
      <rPr>
        <b/>
        <vertAlign val="subscript"/>
        <sz val="12"/>
        <color theme="1"/>
        <rFont val="Monospaced"/>
      </rPr>
      <t>6</t>
    </r>
    <r>
      <rPr>
        <b/>
        <sz val="12"/>
        <color theme="1"/>
        <rFont val="Monospaced"/>
      </rPr>
      <t>O</t>
    </r>
    <r>
      <rPr>
        <b/>
        <vertAlign val="subscript"/>
        <sz val="12"/>
        <color theme="1"/>
        <rFont val="Monospaced"/>
      </rPr>
      <t>6</t>
    </r>
  </si>
  <si>
    <t>Concentration (µg/mL)</t>
  </si>
  <si>
    <t>Mean DAR</t>
  </si>
  <si>
    <t>Average</t>
  </si>
  <si>
    <t>std.dev</t>
  </si>
  <si>
    <t>RSD%</t>
  </si>
  <si>
    <t>Molecule ID</t>
  </si>
  <si>
    <t>Trastuzumab ADC</t>
  </si>
  <si>
    <t>Explained area percentage</t>
  </si>
  <si>
    <t>Example case: a generic Trastuzumab IgG1-based ADC conjugated via maleimido-vc-PABC-MMAE</t>
  </si>
  <si>
    <t>Example case: a generic Trastuzumab IgG1-based ADC conjugated  via maleimido-vc-PABC-MMAE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</si>
</sst>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0.000"/>
    <numFmt numFmtId="166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Monospaced"/>
    </font>
    <font>
      <b/>
      <vertAlign val="subscript"/>
      <sz val="12"/>
      <color theme="1"/>
      <name val="Monospac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4" fontId="0" fillId="0" borderId="0" xfId="0" applyNumberFormat="1"/>
    <xf numFmtId="164" fontId="0" fillId="0" borderId="0" xfId="0" applyNumberFormat="1"/>
    <xf numFmtId="0" fontId="2" fillId="0" borderId="0" xfId="1"/>
    <xf numFmtId="2" fontId="0" fillId="0" borderId="0" xfId="0" applyNumberFormat="1"/>
    <xf numFmtId="0" fontId="4" fillId="0" borderId="0" xfId="0" applyFont="1"/>
    <xf numFmtId="0" fontId="1" fillId="0" borderId="0" xfId="0" applyFont="1"/>
    <xf numFmtId="2" fontId="1" fillId="0" borderId="0" xfId="0" applyNumberFormat="1" applyFont="1"/>
    <xf numFmtId="165" fontId="1" fillId="0" borderId="0" xfId="0" applyNumberFormat="1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514350</xdr:colOff>
      <xdr:row>3</xdr:row>
      <xdr:rowOff>76200</xdr:rowOff>
    </xdr:from>
    <xdr:to>
      <xdr:col>23</xdr:col>
      <xdr:colOff>361315</xdr:colOff>
      <xdr:row>26</xdr:row>
      <xdr:rowOff>125730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32C12-BBD8-25B9-D50B-6328CE66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1038225"/>
          <a:ext cx="7162165" cy="44310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285750</xdr:colOff>
      <xdr:row>86</xdr:row>
      <xdr:rowOff>180975</xdr:rowOff>
    </xdr:from>
    <xdr:to>
      <xdr:col>0</xdr:col>
      <xdr:colOff>2886438</xdr:colOff>
      <xdr:row>92</xdr:row>
      <xdr:rowOff>162082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645B4D-524D-3BF1-4916-A87F9475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7106900"/>
          <a:ext cx="2600688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101</xdr:row>
      <xdr:rowOff>19050</xdr:rowOff>
    </xdr:from>
    <xdr:to>
      <xdr:col>0</xdr:col>
      <xdr:colOff>3438969</xdr:colOff>
      <xdr:row>106</xdr:row>
      <xdr:rowOff>152552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4DA2CF-96CD-4165-A870-DD90EF4A4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19869150"/>
          <a:ext cx="3181794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115</xdr:row>
      <xdr:rowOff>0</xdr:rowOff>
    </xdr:from>
    <xdr:to>
      <xdr:col>0</xdr:col>
      <xdr:colOff>3276601</xdr:colOff>
      <xdr:row>122</xdr:row>
      <xdr:rowOff>161837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76EB20-28C2-056C-58C8-A967DD83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1" y="22583775"/>
          <a:ext cx="3105150" cy="1495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1</xdr:rowOff>
    </xdr:from>
    <xdr:to>
      <xdr:col>0</xdr:col>
      <xdr:colOff>3611880</xdr:colOff>
      <xdr:row>153</xdr:row>
      <xdr:rowOff>38101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62CF55-103D-8E12-3937-0561BE3AD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698451"/>
          <a:ext cx="3611880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79750</xdr:rowOff>
    </xdr:from>
    <xdr:to>
      <xdr:col>1</xdr:col>
      <xdr:colOff>67587</xdr:colOff>
      <xdr:row>140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77C0B0-49EC-E945-4FC1-E99C8BCD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587700"/>
          <a:ext cx="3887112" cy="1996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514350</xdr:colOff>
      <xdr:row>3</xdr:row>
      <xdr:rowOff>76200</xdr:rowOff>
    </xdr:from>
    <xdr:to>
      <xdr:col>23</xdr:col>
      <xdr:colOff>361315</xdr:colOff>
      <xdr:row>26</xdr:row>
      <xdr:rowOff>125730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FB32D-4775-4729-9E27-5B8D2A26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1038225"/>
          <a:ext cx="7162165" cy="44310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285750</xdr:colOff>
      <xdr:row>86</xdr:row>
      <xdr:rowOff>180975</xdr:rowOff>
    </xdr:from>
    <xdr:to>
      <xdr:col>0</xdr:col>
      <xdr:colOff>2886438</xdr:colOff>
      <xdr:row>92</xdr:row>
      <xdr:rowOff>162082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0817A-BCD7-4919-AA27-6B356FE0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7106900"/>
          <a:ext cx="2600688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101</xdr:row>
      <xdr:rowOff>19050</xdr:rowOff>
    </xdr:from>
    <xdr:to>
      <xdr:col>0</xdr:col>
      <xdr:colOff>3438969</xdr:colOff>
      <xdr:row>106</xdr:row>
      <xdr:rowOff>152552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727BC-DF7D-42B6-85A9-4055B6ED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19869150"/>
          <a:ext cx="3181794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115</xdr:row>
      <xdr:rowOff>0</xdr:rowOff>
    </xdr:from>
    <xdr:to>
      <xdr:col>0</xdr:col>
      <xdr:colOff>3276601</xdr:colOff>
      <xdr:row>122</xdr:row>
      <xdr:rowOff>161837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F4AF40-CB05-4DEC-A87E-E19BDAD5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1" y="22583775"/>
          <a:ext cx="3105150" cy="1495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1</xdr:rowOff>
    </xdr:from>
    <xdr:to>
      <xdr:col>0</xdr:col>
      <xdr:colOff>3611880</xdr:colOff>
      <xdr:row>138</xdr:row>
      <xdr:rowOff>38101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50CB38-A46E-4E08-B66C-BBFD10DF2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698451"/>
          <a:ext cx="361188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roteomicsresource.washington.edu/protocols06/masses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roteomicsresource.washington.edu/protocols06/masse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A2C5-1044-408B-98AC-E0C86922AAFD}">
  <dimension ref="A1:F145"/>
  <sheetViews>
    <sheetView workbookViewId="0"/>
  </sheetViews>
  <sheetFormatPr defaultRowHeight="15"/>
  <cols>
    <col min="1" max="1" width="57.28515625" bestFit="1" customWidth="1"/>
    <col min="2" max="2" width="13.28515625" bestFit="1" customWidth="1"/>
    <col min="3" max="3" width="25.7109375" bestFit="1" customWidth="1"/>
    <col min="4" max="4" width="12.42578125" customWidth="1"/>
    <col min="5" max="5" width="15" bestFit="1" customWidth="1"/>
    <col min="6" max="6" width="10.5703125" bestFit="1" customWidth="1"/>
  </cols>
  <sheetData>
    <row r="1" spans="1:4" ht="45.75" customHeight="1">
      <c r="A1" s="1" t="s">
        <v>174</v>
      </c>
    </row>
    <row r="2" spans="1:4">
      <c r="A2" t="s">
        <v>20</v>
      </c>
    </row>
    <row r="3" spans="1:4">
      <c r="C3" t="s">
        <v>131</v>
      </c>
    </row>
    <row r="4" spans="1:4">
      <c r="A4" t="s">
        <v>0</v>
      </c>
      <c r="B4" s="5">
        <v>145617.72</v>
      </c>
      <c r="C4" t="s">
        <v>126</v>
      </c>
    </row>
    <row r="5" spans="1:4">
      <c r="A5" t="s">
        <v>1</v>
      </c>
      <c r="B5" s="5">
        <f>B4-F41</f>
        <v>145489.54772</v>
      </c>
      <c r="C5" t="s">
        <v>127</v>
      </c>
    </row>
    <row r="6" spans="1:4">
      <c r="A6" t="s">
        <v>2</v>
      </c>
      <c r="B6" s="5">
        <f>B4-2*F41</f>
        <v>145361.37544</v>
      </c>
      <c r="C6" t="s">
        <v>128</v>
      </c>
    </row>
    <row r="7" spans="1:4">
      <c r="A7" t="s">
        <v>3</v>
      </c>
      <c r="B7" s="5">
        <f>B4-2*(F29+F41)</f>
        <v>145247.27280000001</v>
      </c>
      <c r="C7" t="s">
        <v>129</v>
      </c>
    </row>
    <row r="8" spans="1:4">
      <c r="A8" t="s">
        <v>4</v>
      </c>
      <c r="B8" s="5">
        <f>B4-D54-D57</f>
        <v>145600.71265999999</v>
      </c>
      <c r="C8" t="s">
        <v>130</v>
      </c>
    </row>
    <row r="9" spans="1:4">
      <c r="A9" t="s">
        <v>5</v>
      </c>
      <c r="B9">
        <v>2</v>
      </c>
      <c r="C9" t="s">
        <v>134</v>
      </c>
    </row>
    <row r="10" spans="1:4">
      <c r="A10" t="s">
        <v>8</v>
      </c>
      <c r="B10">
        <f>B74</f>
        <v>1316.65</v>
      </c>
      <c r="C10" t="s">
        <v>139</v>
      </c>
    </row>
    <row r="11" spans="1:4">
      <c r="A11" t="s">
        <v>6</v>
      </c>
      <c r="B11">
        <v>0</v>
      </c>
      <c r="C11">
        <f>D56+ 3*(D54)</f>
        <v>17.030519999999999</v>
      </c>
      <c r="D11" t="s">
        <v>132</v>
      </c>
    </row>
    <row r="12" spans="1:4">
      <c r="A12" t="s">
        <v>155</v>
      </c>
      <c r="B12">
        <f>B84</f>
        <v>211.21700000000001</v>
      </c>
      <c r="C12" t="s">
        <v>140</v>
      </c>
    </row>
    <row r="13" spans="1:4">
      <c r="A13" t="s">
        <v>156</v>
      </c>
      <c r="B13">
        <f>B98</f>
        <v>310.35000000000002</v>
      </c>
      <c r="C13" t="s">
        <v>141</v>
      </c>
    </row>
    <row r="14" spans="1:4">
      <c r="A14" t="s">
        <v>157</v>
      </c>
      <c r="B14">
        <f>B112</f>
        <v>467.52300000000002</v>
      </c>
      <c r="C14" t="s">
        <v>142</v>
      </c>
    </row>
    <row r="15" spans="1:4">
      <c r="A15" t="s">
        <v>158</v>
      </c>
      <c r="B15">
        <v>554.64800000000002</v>
      </c>
      <c r="C15" t="s">
        <v>143</v>
      </c>
    </row>
    <row r="16" spans="1:4">
      <c r="A16" t="s">
        <v>159</v>
      </c>
      <c r="B16">
        <v>572.66300000000001</v>
      </c>
      <c r="C16" t="s">
        <v>153</v>
      </c>
    </row>
    <row r="17" spans="1:6">
      <c r="A17" t="s">
        <v>14</v>
      </c>
      <c r="B17">
        <f>D66</f>
        <v>1445.3199999999997</v>
      </c>
    </row>
    <row r="18" spans="1:6">
      <c r="A18" t="s">
        <v>15</v>
      </c>
      <c r="B18">
        <f>D69</f>
        <v>1299.1799999999998</v>
      </c>
    </row>
    <row r="19" spans="1:6">
      <c r="A19" t="s">
        <v>16</v>
      </c>
      <c r="B19">
        <f>D67</f>
        <v>1607.46</v>
      </c>
    </row>
    <row r="20" spans="1:6">
      <c r="A20" t="s">
        <v>17</v>
      </c>
      <c r="B20">
        <f>D68</f>
        <v>1769.6</v>
      </c>
    </row>
    <row r="21" spans="1:6">
      <c r="A21" t="s">
        <v>18</v>
      </c>
      <c r="B21">
        <v>5</v>
      </c>
    </row>
    <row r="22" spans="1:6">
      <c r="A22" t="s">
        <v>19</v>
      </c>
      <c r="B22">
        <v>32</v>
      </c>
      <c r="C22" t="s">
        <v>133</v>
      </c>
    </row>
    <row r="26" spans="1:6">
      <c r="A26" t="s">
        <v>154</v>
      </c>
    </row>
    <row r="27" spans="1:6">
      <c r="A27" s="4" t="s">
        <v>114</v>
      </c>
    </row>
    <row r="28" spans="1:6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</row>
    <row r="29" spans="1:6">
      <c r="A29" t="s">
        <v>27</v>
      </c>
      <c r="B29" t="s">
        <v>28</v>
      </c>
      <c r="C29" t="s">
        <v>29</v>
      </c>
      <c r="D29" t="s">
        <v>93</v>
      </c>
      <c r="E29" s="3">
        <v>57.021463734999998</v>
      </c>
      <c r="F29" s="2">
        <v>57.051319999999997</v>
      </c>
    </row>
    <row r="30" spans="1:6">
      <c r="A30" t="s">
        <v>30</v>
      </c>
      <c r="B30" t="s">
        <v>31</v>
      </c>
      <c r="C30" t="s">
        <v>32</v>
      </c>
      <c r="D30" t="s">
        <v>94</v>
      </c>
      <c r="E30" s="3">
        <v>71.037113805000004</v>
      </c>
      <c r="F30" s="2">
        <v>71.0779</v>
      </c>
    </row>
    <row r="31" spans="1:6">
      <c r="A31" t="s">
        <v>33</v>
      </c>
      <c r="B31" t="s">
        <v>34</v>
      </c>
      <c r="C31" t="s">
        <v>35</v>
      </c>
      <c r="D31" t="s">
        <v>95</v>
      </c>
      <c r="E31" s="3">
        <v>87.032028435000001</v>
      </c>
      <c r="F31" s="2">
        <v>87.077299999999994</v>
      </c>
    </row>
    <row r="32" spans="1:6">
      <c r="A32" t="s">
        <v>36</v>
      </c>
      <c r="B32" t="s">
        <v>37</v>
      </c>
      <c r="C32" t="s">
        <v>38</v>
      </c>
      <c r="D32" t="s">
        <v>96</v>
      </c>
      <c r="E32" s="3">
        <v>97.052763874999997</v>
      </c>
      <c r="F32" s="2">
        <v>97.115179999999995</v>
      </c>
    </row>
    <row r="33" spans="1:6">
      <c r="A33" t="s">
        <v>39</v>
      </c>
      <c r="B33" t="s">
        <v>40</v>
      </c>
      <c r="C33" t="s">
        <v>41</v>
      </c>
      <c r="D33" t="s">
        <v>97</v>
      </c>
      <c r="E33" s="3">
        <v>99.068413945000003</v>
      </c>
      <c r="F33" s="2">
        <v>99.131060000000005</v>
      </c>
    </row>
    <row r="34" spans="1:6">
      <c r="A34" t="s">
        <v>42</v>
      </c>
      <c r="B34" t="s">
        <v>43</v>
      </c>
      <c r="C34" t="s">
        <v>44</v>
      </c>
      <c r="D34" t="s">
        <v>98</v>
      </c>
      <c r="E34" s="3">
        <v>101.04767850499999</v>
      </c>
      <c r="F34" s="2">
        <v>101.10388</v>
      </c>
    </row>
    <row r="35" spans="1:6">
      <c r="A35" t="s">
        <v>45</v>
      </c>
      <c r="B35" t="s">
        <v>46</v>
      </c>
      <c r="C35" t="s">
        <v>47</v>
      </c>
      <c r="D35" t="s">
        <v>99</v>
      </c>
      <c r="E35" s="3">
        <v>103.00918450499999</v>
      </c>
      <c r="F35" s="2">
        <v>103.1429</v>
      </c>
    </row>
    <row r="36" spans="1:6">
      <c r="A36" t="s">
        <v>48</v>
      </c>
      <c r="B36" t="s">
        <v>49</v>
      </c>
      <c r="C36" t="s">
        <v>50</v>
      </c>
      <c r="D36" t="s">
        <v>100</v>
      </c>
      <c r="E36" s="3">
        <v>113.084064015</v>
      </c>
      <c r="F36" s="2">
        <v>113.15764</v>
      </c>
    </row>
    <row r="37" spans="1:6">
      <c r="A37" t="s">
        <v>51</v>
      </c>
      <c r="B37" t="s">
        <v>52</v>
      </c>
      <c r="C37" t="s">
        <v>53</v>
      </c>
      <c r="D37" t="s">
        <v>100</v>
      </c>
      <c r="E37" s="3">
        <v>113.084064015</v>
      </c>
      <c r="F37" s="2">
        <v>113.15764</v>
      </c>
    </row>
    <row r="38" spans="1:6">
      <c r="A38" t="s">
        <v>54</v>
      </c>
      <c r="B38" t="s">
        <v>55</v>
      </c>
      <c r="C38" t="s">
        <v>56</v>
      </c>
      <c r="D38" t="s">
        <v>101</v>
      </c>
      <c r="E38" s="3">
        <v>114.04292747</v>
      </c>
      <c r="F38" s="2">
        <v>114.10263999999999</v>
      </c>
    </row>
    <row r="39" spans="1:6">
      <c r="A39" t="s">
        <v>57</v>
      </c>
      <c r="B39" t="s">
        <v>58</v>
      </c>
      <c r="C39" t="s">
        <v>59</v>
      </c>
      <c r="D39" t="s">
        <v>102</v>
      </c>
      <c r="E39" s="3">
        <v>115.026943065</v>
      </c>
      <c r="F39" s="2">
        <v>115.0874</v>
      </c>
    </row>
    <row r="40" spans="1:6">
      <c r="A40" t="s">
        <v>60</v>
      </c>
      <c r="B40" t="s">
        <v>61</v>
      </c>
      <c r="C40" t="s">
        <v>62</v>
      </c>
      <c r="D40" t="s">
        <v>103</v>
      </c>
      <c r="E40" s="3">
        <v>128.05857753999999</v>
      </c>
      <c r="F40" s="2">
        <v>128.12922</v>
      </c>
    </row>
    <row r="41" spans="1:6">
      <c r="A41" t="s">
        <v>63</v>
      </c>
      <c r="B41" t="s">
        <v>64</v>
      </c>
      <c r="C41" t="s">
        <v>65</v>
      </c>
      <c r="D41" t="s">
        <v>104</v>
      </c>
      <c r="E41" s="3">
        <v>128.09496304999999</v>
      </c>
      <c r="F41" s="2">
        <v>128.17228</v>
      </c>
    </row>
    <row r="42" spans="1:6">
      <c r="A42" t="s">
        <v>66</v>
      </c>
      <c r="B42" t="s">
        <v>67</v>
      </c>
      <c r="C42" t="s">
        <v>68</v>
      </c>
      <c r="D42" t="s">
        <v>105</v>
      </c>
      <c r="E42" s="3">
        <v>129.042593135</v>
      </c>
      <c r="F42" s="2">
        <v>129.11398</v>
      </c>
    </row>
    <row r="43" spans="1:6">
      <c r="A43" t="s">
        <v>69</v>
      </c>
      <c r="B43" t="s">
        <v>70</v>
      </c>
      <c r="C43" t="s">
        <v>71</v>
      </c>
      <c r="D43" t="s">
        <v>106</v>
      </c>
      <c r="E43" s="3">
        <v>131.04048464499999</v>
      </c>
      <c r="F43" s="2">
        <v>131.19605999999999</v>
      </c>
    </row>
    <row r="44" spans="1:6">
      <c r="A44" t="s">
        <v>72</v>
      </c>
      <c r="B44" t="s">
        <v>73</v>
      </c>
      <c r="C44" t="s">
        <v>74</v>
      </c>
      <c r="D44" t="s">
        <v>107</v>
      </c>
      <c r="E44" s="3">
        <v>137.05891187500001</v>
      </c>
      <c r="F44" s="2">
        <v>137.13928000000001</v>
      </c>
    </row>
    <row r="45" spans="1:6">
      <c r="A45" t="s">
        <v>75</v>
      </c>
      <c r="B45" t="s">
        <v>76</v>
      </c>
      <c r="C45" t="s">
        <v>77</v>
      </c>
      <c r="D45" t="s">
        <v>108</v>
      </c>
      <c r="E45" s="3">
        <v>147.068413945</v>
      </c>
      <c r="F45" s="2">
        <v>147.17385999999999</v>
      </c>
    </row>
    <row r="46" spans="1:6">
      <c r="A46" t="s">
        <v>78</v>
      </c>
      <c r="B46" t="s">
        <v>79</v>
      </c>
      <c r="C46" t="s">
        <v>80</v>
      </c>
      <c r="D46" t="s">
        <v>109</v>
      </c>
      <c r="E46" s="3">
        <v>150.95363340500001</v>
      </c>
      <c r="F46" s="2">
        <v>150.30789999999999</v>
      </c>
    </row>
    <row r="47" spans="1:6">
      <c r="A47" t="s">
        <v>81</v>
      </c>
      <c r="B47" t="s">
        <v>82</v>
      </c>
      <c r="C47" t="s">
        <v>83</v>
      </c>
      <c r="D47" t="s">
        <v>110</v>
      </c>
      <c r="E47" s="3">
        <v>156.10111104999999</v>
      </c>
      <c r="F47" s="2">
        <v>156.18567999999999</v>
      </c>
    </row>
    <row r="48" spans="1:6">
      <c r="A48" t="s">
        <v>84</v>
      </c>
      <c r="B48" t="s">
        <v>85</v>
      </c>
      <c r="C48" t="s">
        <v>86</v>
      </c>
      <c r="D48" t="s">
        <v>111</v>
      </c>
      <c r="E48" s="3">
        <v>163.06332857500001</v>
      </c>
      <c r="F48" s="2">
        <v>163.17326</v>
      </c>
    </row>
    <row r="49" spans="1:6">
      <c r="A49" t="s">
        <v>87</v>
      </c>
      <c r="B49" t="s">
        <v>88</v>
      </c>
      <c r="C49" t="s">
        <v>89</v>
      </c>
      <c r="D49" t="s">
        <v>112</v>
      </c>
      <c r="E49" s="3">
        <v>186.07931298</v>
      </c>
      <c r="F49" s="2">
        <v>186.2099</v>
      </c>
    </row>
    <row r="50" spans="1:6">
      <c r="A50" t="s">
        <v>90</v>
      </c>
      <c r="B50" t="s">
        <v>91</v>
      </c>
      <c r="C50" t="s">
        <v>92</v>
      </c>
      <c r="D50" t="s">
        <v>113</v>
      </c>
      <c r="E50" s="3">
        <v>237.147726925</v>
      </c>
      <c r="F50" s="2">
        <v>237.29816</v>
      </c>
    </row>
    <row r="53" spans="1:6">
      <c r="A53" t="s">
        <v>115</v>
      </c>
      <c r="B53" t="s">
        <v>22</v>
      </c>
      <c r="C53" t="s">
        <v>25</v>
      </c>
      <c r="D53" t="s">
        <v>26</v>
      </c>
    </row>
    <row r="54" spans="1:6">
      <c r="A54" t="s">
        <v>116</v>
      </c>
      <c r="B54" t="s">
        <v>73</v>
      </c>
      <c r="C54" s="3">
        <v>1.007825035</v>
      </c>
      <c r="D54" s="3">
        <v>1.0079400000000001</v>
      </c>
    </row>
    <row r="55" spans="1:6">
      <c r="A55" t="s">
        <v>117</v>
      </c>
      <c r="B55" t="s">
        <v>46</v>
      </c>
      <c r="C55" s="3">
        <v>12</v>
      </c>
      <c r="D55" s="3">
        <v>12.0107</v>
      </c>
    </row>
    <row r="56" spans="1:6">
      <c r="A56" t="s">
        <v>118</v>
      </c>
      <c r="B56" t="s">
        <v>55</v>
      </c>
      <c r="C56" s="3">
        <v>14.003074</v>
      </c>
      <c r="D56" s="3">
        <v>14.0067</v>
      </c>
    </row>
    <row r="57" spans="1:6">
      <c r="A57" t="s">
        <v>119</v>
      </c>
      <c r="B57" t="s">
        <v>91</v>
      </c>
      <c r="C57" s="3">
        <v>15.99491463</v>
      </c>
      <c r="D57" s="3">
        <v>15.9994</v>
      </c>
    </row>
    <row r="58" spans="1:6">
      <c r="A58" t="s">
        <v>120</v>
      </c>
      <c r="B58" t="s">
        <v>37</v>
      </c>
      <c r="C58" s="3">
        <v>30.973762000000001</v>
      </c>
      <c r="D58" s="3">
        <v>30.973761</v>
      </c>
    </row>
    <row r="59" spans="1:6">
      <c r="A59" t="s">
        <v>121</v>
      </c>
      <c r="B59" t="s">
        <v>34</v>
      </c>
      <c r="C59" s="3">
        <v>31.9720707</v>
      </c>
      <c r="D59" s="3">
        <v>32.064999999999998</v>
      </c>
    </row>
    <row r="60" spans="1:6">
      <c r="A60" t="s">
        <v>122</v>
      </c>
      <c r="B60" t="s">
        <v>123</v>
      </c>
      <c r="C60" s="3">
        <v>79.916519600000001</v>
      </c>
      <c r="D60" s="3">
        <v>79.959999999999994</v>
      </c>
    </row>
    <row r="61" spans="1:6" ht="16.5">
      <c r="A61" t="s">
        <v>124</v>
      </c>
      <c r="B61" t="s">
        <v>125</v>
      </c>
      <c r="C61" s="3">
        <v>1.0072764668800001</v>
      </c>
      <c r="D61" s="3">
        <v>1.00739</v>
      </c>
    </row>
    <row r="65" spans="1:4">
      <c r="B65" t="s">
        <v>135</v>
      </c>
      <c r="C65" t="s">
        <v>25</v>
      </c>
      <c r="D65" t="s">
        <v>26</v>
      </c>
    </row>
    <row r="66" spans="1:4">
      <c r="B66" t="s">
        <v>13</v>
      </c>
      <c r="C66">
        <v>1444.5338999999999</v>
      </c>
      <c r="D66">
        <v>1445.3199999999997</v>
      </c>
    </row>
    <row r="67" spans="1:4">
      <c r="B67" t="s">
        <v>136</v>
      </c>
      <c r="C67">
        <v>1606.5867000000001</v>
      </c>
      <c r="D67">
        <v>1607.46</v>
      </c>
    </row>
    <row r="68" spans="1:4">
      <c r="B68" t="s">
        <v>137</v>
      </c>
      <c r="C68">
        <v>1768.6395</v>
      </c>
      <c r="D68" s="5">
        <v>1769.6</v>
      </c>
    </row>
    <row r="69" spans="1:4">
      <c r="B69" t="s">
        <v>138</v>
      </c>
      <c r="C69">
        <v>1298.4759999999999</v>
      </c>
      <c r="D69">
        <v>1299.1799999999998</v>
      </c>
    </row>
    <row r="73" spans="1:4">
      <c r="A73" t="s">
        <v>145</v>
      </c>
    </row>
    <row r="74" spans="1:4" ht="15.75">
      <c r="A74" s="6" t="s">
        <v>146</v>
      </c>
      <c r="B74">
        <v>1316.65</v>
      </c>
    </row>
    <row r="75" spans="1:4" ht="15.75">
      <c r="A75" s="6" t="s">
        <v>147</v>
      </c>
      <c r="B75">
        <v>1315.779161725</v>
      </c>
    </row>
    <row r="76" spans="1:4" ht="18.75">
      <c r="A76" s="6" t="s">
        <v>144</v>
      </c>
    </row>
    <row r="83" spans="1:2">
      <c r="A83" t="s">
        <v>7</v>
      </c>
    </row>
    <row r="84" spans="1:2" ht="15.75">
      <c r="A84" s="6" t="s">
        <v>146</v>
      </c>
      <c r="B84">
        <v>211.21700000000001</v>
      </c>
    </row>
    <row r="85" spans="1:2" ht="15.75">
      <c r="A85" s="6" t="s">
        <v>147</v>
      </c>
      <c r="B85">
        <v>211.08445790299999</v>
      </c>
    </row>
    <row r="86" spans="1:2" ht="18.75">
      <c r="A86" s="6" t="s">
        <v>148</v>
      </c>
    </row>
    <row r="95" spans="1:2">
      <c r="A95" t="s">
        <v>9</v>
      </c>
    </row>
    <row r="98" spans="1:2" ht="15.75">
      <c r="A98" s="6" t="s">
        <v>150</v>
      </c>
      <c r="B98">
        <v>310.35000000000002</v>
      </c>
    </row>
    <row r="99" spans="1:2" ht="15.75">
      <c r="A99" s="6" t="s">
        <v>147</v>
      </c>
      <c r="B99">
        <v>310.15287181600002</v>
      </c>
    </row>
    <row r="100" spans="1:2" ht="18.75">
      <c r="A100" s="6" t="s">
        <v>149</v>
      </c>
    </row>
    <row r="111" spans="1:2">
      <c r="A111" t="s">
        <v>10</v>
      </c>
    </row>
    <row r="112" spans="1:2" ht="15.75">
      <c r="A112" s="6" t="s">
        <v>146</v>
      </c>
      <c r="B112">
        <v>467.52300000000002</v>
      </c>
    </row>
    <row r="113" spans="1:2" ht="15.75">
      <c r="A113" s="6" t="s">
        <v>147</v>
      </c>
      <c r="B113">
        <v>467.23799842300002</v>
      </c>
    </row>
    <row r="114" spans="1:2" ht="18.75">
      <c r="A114" s="6" t="s">
        <v>151</v>
      </c>
    </row>
    <row r="127" spans="1:2">
      <c r="A127" t="s">
        <v>11</v>
      </c>
    </row>
    <row r="128" spans="1:2" ht="15.75">
      <c r="A128" s="6" t="s">
        <v>146</v>
      </c>
      <c r="B128">
        <v>554.64800000000002</v>
      </c>
    </row>
    <row r="129" spans="1:2" ht="15.75">
      <c r="A129" s="6" t="s">
        <v>147</v>
      </c>
      <c r="B129">
        <v>554.28528296800005</v>
      </c>
    </row>
    <row r="130" spans="1:2" ht="18.75">
      <c r="A130" s="6" t="s">
        <v>165</v>
      </c>
    </row>
    <row r="142" spans="1:2">
      <c r="A142" t="s">
        <v>12</v>
      </c>
    </row>
    <row r="143" spans="1:2" ht="15.75">
      <c r="A143" s="6" t="s">
        <v>150</v>
      </c>
      <c r="B143">
        <v>572.66300000000001</v>
      </c>
    </row>
    <row r="144" spans="1:2" ht="15.75">
      <c r="A144" s="6" t="s">
        <v>147</v>
      </c>
      <c r="B144">
        <v>572.29584765200002</v>
      </c>
    </row>
    <row r="145" spans="1:1" ht="18.75">
      <c r="A145" s="6" t="s">
        <v>152</v>
      </c>
    </row>
  </sheetData>
  <hyperlinks>
    <hyperlink ref="A27" r:id="rId1" display="https://proteomicsresource.washington.edu/protocols06/masses.php" xr:uid="{179B6ED0-5357-4966-8265-819E860BE94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FBEF-1A75-48E9-9EFA-CF96E8A48B50}">
  <dimension ref="A1:J130"/>
  <sheetViews>
    <sheetView workbookViewId="0">
      <selection activeCell="A6" sqref="A6"/>
    </sheetView>
  </sheetViews>
  <sheetFormatPr defaultRowHeight="15"/>
  <cols>
    <col min="1" max="1" width="57.28515625" bestFit="1" customWidth="1"/>
    <col min="2" max="2" width="13.28515625" bestFit="1" customWidth="1"/>
    <col min="3" max="3" width="25.7109375" bestFit="1" customWidth="1"/>
    <col min="4" max="4" width="12.42578125" customWidth="1"/>
    <col min="5" max="5" width="15" bestFit="1" customWidth="1"/>
    <col min="6" max="6" width="10.5703125" bestFit="1" customWidth="1"/>
  </cols>
  <sheetData>
    <row r="1" spans="1:4" ht="45.75" customHeight="1">
      <c r="A1" s="1" t="s">
        <v>175</v>
      </c>
    </row>
    <row r="2" spans="1:4">
      <c r="A2" t="s">
        <v>20</v>
      </c>
    </row>
    <row r="3" spans="1:4">
      <c r="C3" t="s">
        <v>131</v>
      </c>
    </row>
    <row r="4" spans="1:4">
      <c r="A4" t="s">
        <v>0</v>
      </c>
      <c r="B4" s="5">
        <v>145617.72</v>
      </c>
      <c r="C4" t="s">
        <v>126</v>
      </c>
    </row>
    <row r="5" spans="1:4">
      <c r="A5" t="s">
        <v>1</v>
      </c>
      <c r="B5" s="5">
        <f>B4-F41</f>
        <v>145489.54772</v>
      </c>
      <c r="C5" t="s">
        <v>127</v>
      </c>
    </row>
    <row r="6" spans="1:4">
      <c r="A6" t="s">
        <v>2</v>
      </c>
      <c r="B6" s="5">
        <f>B4-2*F41</f>
        <v>145361.37544</v>
      </c>
      <c r="C6" t="s">
        <v>128</v>
      </c>
    </row>
    <row r="7" spans="1:4">
      <c r="A7" t="s">
        <v>3</v>
      </c>
      <c r="B7" s="5">
        <f>B4-2*(F29+F41)</f>
        <v>145247.27280000001</v>
      </c>
      <c r="C7" t="s">
        <v>129</v>
      </c>
    </row>
    <row r="8" spans="1:4">
      <c r="A8" t="s">
        <v>4</v>
      </c>
      <c r="B8" s="5">
        <f>B4-D54-D57</f>
        <v>145600.71265999999</v>
      </c>
      <c r="C8" t="s">
        <v>130</v>
      </c>
    </row>
    <row r="9" spans="1:4">
      <c r="A9" t="s">
        <v>5</v>
      </c>
      <c r="B9">
        <v>2</v>
      </c>
      <c r="C9" t="s">
        <v>134</v>
      </c>
    </row>
    <row r="10" spans="1:4">
      <c r="A10" t="s">
        <v>8</v>
      </c>
      <c r="B10">
        <f>B74</f>
        <v>1316.65</v>
      </c>
      <c r="C10" t="s">
        <v>139</v>
      </c>
    </row>
    <row r="11" spans="1:4">
      <c r="A11" t="s">
        <v>6</v>
      </c>
      <c r="B11">
        <v>0</v>
      </c>
      <c r="C11">
        <f>D56+ 3*(D54)</f>
        <v>17.030519999999999</v>
      </c>
      <c r="D11" t="s">
        <v>132</v>
      </c>
    </row>
    <row r="12" spans="1:4">
      <c r="A12" t="s">
        <v>160</v>
      </c>
      <c r="B12">
        <v>1183.4559999999999</v>
      </c>
      <c r="C12" t="s">
        <v>140</v>
      </c>
    </row>
    <row r="13" spans="1:4">
      <c r="A13" t="s">
        <v>161</v>
      </c>
      <c r="B13">
        <v>1014.232</v>
      </c>
      <c r="C13" t="s">
        <v>141</v>
      </c>
    </row>
    <row r="14" spans="1:4">
      <c r="A14" t="s">
        <v>162</v>
      </c>
      <c r="B14">
        <v>828.96500000000003</v>
      </c>
      <c r="C14" t="s">
        <v>142</v>
      </c>
    </row>
    <row r="15" spans="1:4">
      <c r="A15" t="s">
        <v>163</v>
      </c>
      <c r="B15">
        <v>729.83199999999999</v>
      </c>
      <c r="C15" t="s">
        <v>143</v>
      </c>
    </row>
    <row r="16" spans="1:4">
      <c r="A16" t="s">
        <v>164</v>
      </c>
      <c r="B16">
        <v>572.66300000000001</v>
      </c>
      <c r="C16" t="s">
        <v>153</v>
      </c>
    </row>
    <row r="17" spans="1:10">
      <c r="A17" t="s">
        <v>14</v>
      </c>
      <c r="B17">
        <f>D66</f>
        <v>1445.3199999999997</v>
      </c>
    </row>
    <row r="18" spans="1:10">
      <c r="A18" t="s">
        <v>15</v>
      </c>
      <c r="B18">
        <f>D69</f>
        <v>1299.1799999999998</v>
      </c>
    </row>
    <row r="19" spans="1:10">
      <c r="A19" t="s">
        <v>16</v>
      </c>
      <c r="B19">
        <f>D67</f>
        <v>1607.46</v>
      </c>
    </row>
    <row r="20" spans="1:10">
      <c r="A20" t="s">
        <v>17</v>
      </c>
      <c r="B20">
        <f>D68</f>
        <v>1769.6</v>
      </c>
    </row>
    <row r="21" spans="1:10">
      <c r="A21" t="s">
        <v>18</v>
      </c>
      <c r="B21">
        <v>5</v>
      </c>
    </row>
    <row r="22" spans="1:10">
      <c r="A22" t="s">
        <v>19</v>
      </c>
      <c r="B22">
        <v>32</v>
      </c>
      <c r="C22" t="s">
        <v>133</v>
      </c>
    </row>
    <row r="25" spans="1:10">
      <c r="J25">
        <f>B10-B15</f>
        <v>586.8180000000001</v>
      </c>
    </row>
    <row r="26" spans="1:10">
      <c r="A26" t="s">
        <v>154</v>
      </c>
    </row>
    <row r="27" spans="1:10">
      <c r="A27" s="4" t="s">
        <v>114</v>
      </c>
    </row>
    <row r="28" spans="1:10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</row>
    <row r="29" spans="1:10">
      <c r="A29" t="s">
        <v>27</v>
      </c>
      <c r="B29" t="s">
        <v>28</v>
      </c>
      <c r="C29" t="s">
        <v>29</v>
      </c>
      <c r="D29" t="s">
        <v>93</v>
      </c>
      <c r="E29" s="3">
        <v>57.021463734999998</v>
      </c>
      <c r="F29" s="2">
        <v>57.051319999999997</v>
      </c>
    </row>
    <row r="30" spans="1:10">
      <c r="A30" t="s">
        <v>30</v>
      </c>
      <c r="B30" t="s">
        <v>31</v>
      </c>
      <c r="C30" t="s">
        <v>32</v>
      </c>
      <c r="D30" t="s">
        <v>94</v>
      </c>
      <c r="E30" s="3">
        <v>71.037113805000004</v>
      </c>
      <c r="F30" s="2">
        <v>71.0779</v>
      </c>
    </row>
    <row r="31" spans="1:10">
      <c r="A31" t="s">
        <v>33</v>
      </c>
      <c r="B31" t="s">
        <v>34</v>
      </c>
      <c r="C31" t="s">
        <v>35</v>
      </c>
      <c r="D31" t="s">
        <v>95</v>
      </c>
      <c r="E31" s="3">
        <v>87.032028435000001</v>
      </c>
      <c r="F31" s="2">
        <v>87.077299999999994</v>
      </c>
    </row>
    <row r="32" spans="1:10">
      <c r="A32" t="s">
        <v>36</v>
      </c>
      <c r="B32" t="s">
        <v>37</v>
      </c>
      <c r="C32" t="s">
        <v>38</v>
      </c>
      <c r="D32" t="s">
        <v>96</v>
      </c>
      <c r="E32" s="3">
        <v>97.052763874999997</v>
      </c>
      <c r="F32" s="2">
        <v>97.115179999999995</v>
      </c>
    </row>
    <row r="33" spans="1:6">
      <c r="A33" t="s">
        <v>39</v>
      </c>
      <c r="B33" t="s">
        <v>40</v>
      </c>
      <c r="C33" t="s">
        <v>41</v>
      </c>
      <c r="D33" t="s">
        <v>97</v>
      </c>
      <c r="E33" s="3">
        <v>99.068413945000003</v>
      </c>
      <c r="F33" s="2">
        <v>99.131060000000005</v>
      </c>
    </row>
    <row r="34" spans="1:6">
      <c r="A34" t="s">
        <v>42</v>
      </c>
      <c r="B34" t="s">
        <v>43</v>
      </c>
      <c r="C34" t="s">
        <v>44</v>
      </c>
      <c r="D34" t="s">
        <v>98</v>
      </c>
      <c r="E34" s="3">
        <v>101.04767850499999</v>
      </c>
      <c r="F34" s="2">
        <v>101.10388</v>
      </c>
    </row>
    <row r="35" spans="1:6">
      <c r="A35" t="s">
        <v>45</v>
      </c>
      <c r="B35" t="s">
        <v>46</v>
      </c>
      <c r="C35" t="s">
        <v>47</v>
      </c>
      <c r="D35" t="s">
        <v>99</v>
      </c>
      <c r="E35" s="3">
        <v>103.00918450499999</v>
      </c>
      <c r="F35" s="2">
        <v>103.1429</v>
      </c>
    </row>
    <row r="36" spans="1:6">
      <c r="A36" t="s">
        <v>48</v>
      </c>
      <c r="B36" t="s">
        <v>49</v>
      </c>
      <c r="C36" t="s">
        <v>50</v>
      </c>
      <c r="D36" t="s">
        <v>100</v>
      </c>
      <c r="E36" s="3">
        <v>113.084064015</v>
      </c>
      <c r="F36" s="2">
        <v>113.15764</v>
      </c>
    </row>
    <row r="37" spans="1:6">
      <c r="A37" t="s">
        <v>51</v>
      </c>
      <c r="B37" t="s">
        <v>52</v>
      </c>
      <c r="C37" t="s">
        <v>53</v>
      </c>
      <c r="D37" t="s">
        <v>100</v>
      </c>
      <c r="E37" s="3">
        <v>113.084064015</v>
      </c>
      <c r="F37" s="2">
        <v>113.15764</v>
      </c>
    </row>
    <row r="38" spans="1:6">
      <c r="A38" t="s">
        <v>54</v>
      </c>
      <c r="B38" t="s">
        <v>55</v>
      </c>
      <c r="C38" t="s">
        <v>56</v>
      </c>
      <c r="D38" t="s">
        <v>101</v>
      </c>
      <c r="E38" s="3">
        <v>114.04292747</v>
      </c>
      <c r="F38" s="2">
        <v>114.10263999999999</v>
      </c>
    </row>
    <row r="39" spans="1:6">
      <c r="A39" t="s">
        <v>57</v>
      </c>
      <c r="B39" t="s">
        <v>58</v>
      </c>
      <c r="C39" t="s">
        <v>59</v>
      </c>
      <c r="D39" t="s">
        <v>102</v>
      </c>
      <c r="E39" s="3">
        <v>115.026943065</v>
      </c>
      <c r="F39" s="2">
        <v>115.0874</v>
      </c>
    </row>
    <row r="40" spans="1:6">
      <c r="A40" t="s">
        <v>60</v>
      </c>
      <c r="B40" t="s">
        <v>61</v>
      </c>
      <c r="C40" t="s">
        <v>62</v>
      </c>
      <c r="D40" t="s">
        <v>103</v>
      </c>
      <c r="E40" s="3">
        <v>128.05857753999999</v>
      </c>
      <c r="F40" s="2">
        <v>128.12922</v>
      </c>
    </row>
    <row r="41" spans="1:6">
      <c r="A41" t="s">
        <v>63</v>
      </c>
      <c r="B41" t="s">
        <v>64</v>
      </c>
      <c r="C41" t="s">
        <v>65</v>
      </c>
      <c r="D41" t="s">
        <v>104</v>
      </c>
      <c r="E41" s="3">
        <v>128.09496304999999</v>
      </c>
      <c r="F41" s="2">
        <v>128.17228</v>
      </c>
    </row>
    <row r="42" spans="1:6">
      <c r="A42" t="s">
        <v>66</v>
      </c>
      <c r="B42" t="s">
        <v>67</v>
      </c>
      <c r="C42" t="s">
        <v>68</v>
      </c>
      <c r="D42" t="s">
        <v>105</v>
      </c>
      <c r="E42" s="3">
        <v>129.042593135</v>
      </c>
      <c r="F42" s="2">
        <v>129.11398</v>
      </c>
    </row>
    <row r="43" spans="1:6">
      <c r="A43" t="s">
        <v>69</v>
      </c>
      <c r="B43" t="s">
        <v>70</v>
      </c>
      <c r="C43" t="s">
        <v>71</v>
      </c>
      <c r="D43" t="s">
        <v>106</v>
      </c>
      <c r="E43" s="3">
        <v>131.04048464499999</v>
      </c>
      <c r="F43" s="2">
        <v>131.19605999999999</v>
      </c>
    </row>
    <row r="44" spans="1:6">
      <c r="A44" t="s">
        <v>72</v>
      </c>
      <c r="B44" t="s">
        <v>73</v>
      </c>
      <c r="C44" t="s">
        <v>74</v>
      </c>
      <c r="D44" t="s">
        <v>107</v>
      </c>
      <c r="E44" s="3">
        <v>137.05891187500001</v>
      </c>
      <c r="F44" s="2">
        <v>137.13928000000001</v>
      </c>
    </row>
    <row r="45" spans="1:6">
      <c r="A45" t="s">
        <v>75</v>
      </c>
      <c r="B45" t="s">
        <v>76</v>
      </c>
      <c r="C45" t="s">
        <v>77</v>
      </c>
      <c r="D45" t="s">
        <v>108</v>
      </c>
      <c r="E45" s="3">
        <v>147.068413945</v>
      </c>
      <c r="F45" s="2">
        <v>147.17385999999999</v>
      </c>
    </row>
    <row r="46" spans="1:6">
      <c r="A46" t="s">
        <v>78</v>
      </c>
      <c r="B46" t="s">
        <v>79</v>
      </c>
      <c r="C46" t="s">
        <v>80</v>
      </c>
      <c r="D46" t="s">
        <v>109</v>
      </c>
      <c r="E46" s="3">
        <v>150.95363340500001</v>
      </c>
      <c r="F46" s="2">
        <v>150.30789999999999</v>
      </c>
    </row>
    <row r="47" spans="1:6">
      <c r="A47" t="s">
        <v>81</v>
      </c>
      <c r="B47" t="s">
        <v>82</v>
      </c>
      <c r="C47" t="s">
        <v>83</v>
      </c>
      <c r="D47" t="s">
        <v>110</v>
      </c>
      <c r="E47" s="3">
        <v>156.10111104999999</v>
      </c>
      <c r="F47" s="2">
        <v>156.18567999999999</v>
      </c>
    </row>
    <row r="48" spans="1:6">
      <c r="A48" t="s">
        <v>84</v>
      </c>
      <c r="B48" t="s">
        <v>85</v>
      </c>
      <c r="C48" t="s">
        <v>86</v>
      </c>
      <c r="D48" t="s">
        <v>111</v>
      </c>
      <c r="E48" s="3">
        <v>163.06332857500001</v>
      </c>
      <c r="F48" s="2">
        <v>163.17326</v>
      </c>
    </row>
    <row r="49" spans="1:6">
      <c r="A49" t="s">
        <v>87</v>
      </c>
      <c r="B49" t="s">
        <v>88</v>
      </c>
      <c r="C49" t="s">
        <v>89</v>
      </c>
      <c r="D49" t="s">
        <v>112</v>
      </c>
      <c r="E49" s="3">
        <v>186.07931298</v>
      </c>
      <c r="F49" s="2">
        <v>186.2099</v>
      </c>
    </row>
    <row r="50" spans="1:6">
      <c r="A50" t="s">
        <v>90</v>
      </c>
      <c r="B50" t="s">
        <v>91</v>
      </c>
      <c r="C50" t="s">
        <v>92</v>
      </c>
      <c r="D50" t="s">
        <v>113</v>
      </c>
      <c r="E50" s="3">
        <v>237.147726925</v>
      </c>
      <c r="F50" s="2">
        <v>237.29816</v>
      </c>
    </row>
    <row r="53" spans="1:6">
      <c r="A53" t="s">
        <v>115</v>
      </c>
      <c r="B53" t="s">
        <v>22</v>
      </c>
      <c r="C53" t="s">
        <v>25</v>
      </c>
      <c r="D53" t="s">
        <v>26</v>
      </c>
    </row>
    <row r="54" spans="1:6">
      <c r="A54" t="s">
        <v>116</v>
      </c>
      <c r="B54" t="s">
        <v>73</v>
      </c>
      <c r="C54" s="3">
        <v>1.007825035</v>
      </c>
      <c r="D54" s="3">
        <v>1.0079400000000001</v>
      </c>
    </row>
    <row r="55" spans="1:6">
      <c r="A55" t="s">
        <v>117</v>
      </c>
      <c r="B55" t="s">
        <v>46</v>
      </c>
      <c r="C55" s="3">
        <v>12</v>
      </c>
      <c r="D55" s="3">
        <v>12.0107</v>
      </c>
    </row>
    <row r="56" spans="1:6">
      <c r="A56" t="s">
        <v>118</v>
      </c>
      <c r="B56" t="s">
        <v>55</v>
      </c>
      <c r="C56" s="3">
        <v>14.003074</v>
      </c>
      <c r="D56" s="3">
        <v>14.0067</v>
      </c>
    </row>
    <row r="57" spans="1:6">
      <c r="A57" t="s">
        <v>119</v>
      </c>
      <c r="B57" t="s">
        <v>91</v>
      </c>
      <c r="C57" s="3">
        <v>15.99491463</v>
      </c>
      <c r="D57" s="3">
        <v>15.9994</v>
      </c>
    </row>
    <row r="58" spans="1:6">
      <c r="A58" t="s">
        <v>120</v>
      </c>
      <c r="B58" t="s">
        <v>37</v>
      </c>
      <c r="C58" s="3">
        <v>30.973762000000001</v>
      </c>
      <c r="D58" s="3">
        <v>30.973761</v>
      </c>
    </row>
    <row r="59" spans="1:6">
      <c r="A59" t="s">
        <v>121</v>
      </c>
      <c r="B59" t="s">
        <v>34</v>
      </c>
      <c r="C59" s="3">
        <v>31.9720707</v>
      </c>
      <c r="D59" s="3">
        <v>32.064999999999998</v>
      </c>
    </row>
    <row r="60" spans="1:6">
      <c r="A60" t="s">
        <v>122</v>
      </c>
      <c r="B60" t="s">
        <v>123</v>
      </c>
      <c r="C60" s="3">
        <v>79.916519600000001</v>
      </c>
      <c r="D60" s="3">
        <v>79.959999999999994</v>
      </c>
    </row>
    <row r="61" spans="1:6" ht="16.5">
      <c r="A61" t="s">
        <v>124</v>
      </c>
      <c r="B61" t="s">
        <v>125</v>
      </c>
      <c r="C61" s="3">
        <v>1.0072764668800001</v>
      </c>
      <c r="D61" s="3">
        <v>1.00739</v>
      </c>
    </row>
    <row r="65" spans="1:4">
      <c r="B65" t="s">
        <v>135</v>
      </c>
      <c r="C65" t="s">
        <v>25</v>
      </c>
      <c r="D65" t="s">
        <v>26</v>
      </c>
    </row>
    <row r="66" spans="1:4">
      <c r="B66" t="s">
        <v>13</v>
      </c>
      <c r="C66">
        <v>1444.5338999999999</v>
      </c>
      <c r="D66">
        <v>1445.3199999999997</v>
      </c>
    </row>
    <row r="67" spans="1:4">
      <c r="B67" t="s">
        <v>136</v>
      </c>
      <c r="C67">
        <v>1606.5867000000001</v>
      </c>
      <c r="D67">
        <v>1607.46</v>
      </c>
    </row>
    <row r="68" spans="1:4">
      <c r="B68" t="s">
        <v>137</v>
      </c>
      <c r="C68">
        <v>1768.6395</v>
      </c>
      <c r="D68" s="5">
        <v>1769.6</v>
      </c>
    </row>
    <row r="69" spans="1:4">
      <c r="B69" t="s">
        <v>138</v>
      </c>
      <c r="C69">
        <v>1298.4759999999999</v>
      </c>
      <c r="D69">
        <v>1299.1799999999998</v>
      </c>
    </row>
    <row r="73" spans="1:4">
      <c r="A73" t="s">
        <v>145</v>
      </c>
    </row>
    <row r="74" spans="1:4" ht="15.75">
      <c r="A74" s="6" t="s">
        <v>146</v>
      </c>
      <c r="B74">
        <v>1316.65</v>
      </c>
    </row>
    <row r="75" spans="1:4" ht="15.75">
      <c r="A75" s="6" t="s">
        <v>147</v>
      </c>
      <c r="B75">
        <v>1315.779161725</v>
      </c>
    </row>
    <row r="76" spans="1:4" ht="18.75">
      <c r="A76" s="6" t="s">
        <v>144</v>
      </c>
    </row>
    <row r="83" spans="1:2">
      <c r="A83" t="s">
        <v>7</v>
      </c>
    </row>
    <row r="84" spans="1:2" ht="15.75">
      <c r="A84" s="6" t="s">
        <v>146</v>
      </c>
      <c r="B84">
        <v>211.21700000000001</v>
      </c>
    </row>
    <row r="85" spans="1:2" ht="15.75">
      <c r="A85" s="6" t="s">
        <v>147</v>
      </c>
      <c r="B85">
        <v>211.08445790299999</v>
      </c>
    </row>
    <row r="86" spans="1:2" ht="18.75">
      <c r="A86" s="6" t="s">
        <v>148</v>
      </c>
    </row>
    <row r="95" spans="1:2">
      <c r="A95" t="s">
        <v>9</v>
      </c>
    </row>
    <row r="98" spans="1:2" ht="15.75">
      <c r="A98" s="6" t="s">
        <v>150</v>
      </c>
      <c r="B98">
        <v>310.35000000000002</v>
      </c>
    </row>
    <row r="99" spans="1:2" ht="15.75">
      <c r="A99" s="6" t="s">
        <v>147</v>
      </c>
      <c r="B99">
        <v>310.15287181600002</v>
      </c>
    </row>
    <row r="100" spans="1:2" ht="18.75">
      <c r="A100" s="6" t="s">
        <v>149</v>
      </c>
    </row>
    <row r="111" spans="1:2">
      <c r="A111" t="s">
        <v>10</v>
      </c>
    </row>
    <row r="112" spans="1:2" ht="15.75">
      <c r="A112" s="6" t="s">
        <v>146</v>
      </c>
      <c r="B112">
        <v>467.52300000000002</v>
      </c>
    </row>
    <row r="113" spans="1:2" ht="15.75">
      <c r="A113" s="6" t="s">
        <v>147</v>
      </c>
      <c r="B113">
        <v>467.23799842300002</v>
      </c>
    </row>
    <row r="114" spans="1:2" ht="18.75">
      <c r="A114" s="6" t="s">
        <v>151</v>
      </c>
    </row>
    <row r="127" spans="1:2">
      <c r="A127" t="s">
        <v>11</v>
      </c>
    </row>
    <row r="128" spans="1:2" ht="15.75">
      <c r="A128" s="6" t="s">
        <v>150</v>
      </c>
      <c r="B128">
        <v>572.66300000000001</v>
      </c>
    </row>
    <row r="129" spans="1:2" ht="15.75">
      <c r="A129" s="6" t="s">
        <v>147</v>
      </c>
      <c r="B129">
        <v>572.29584765200002</v>
      </c>
    </row>
    <row r="130" spans="1:2" ht="18.75">
      <c r="A130" s="6" t="s">
        <v>152</v>
      </c>
    </row>
  </sheetData>
  <hyperlinks>
    <hyperlink ref="A27" r:id="rId1" display="https://proteomicsresource.washington.edu/protocols06/masses.php" xr:uid="{B266BB2D-782F-40C8-AC66-F418AF97B76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7CCF-2478-4798-A155-57744A393B07}">
  <dimension ref="A1:D10"/>
  <sheetViews>
    <sheetView tabSelected="1" workbookViewId="0">
      <selection activeCell="I22" sqref="I22"/>
    </sheetView>
  </sheetViews>
  <sheetFormatPr defaultRowHeight="15"/>
  <cols>
    <col min="1" max="1" width="16.7109375" bestFit="1" customWidth="1"/>
    <col min="2" max="2" width="21" bestFit="1" customWidth="1"/>
    <col min="3" max="3" width="9.85546875" bestFit="1" customWidth="1"/>
    <col min="4" max="4" width="25.140625" bestFit="1" customWidth="1"/>
  </cols>
  <sheetData>
    <row r="1" spans="1:4">
      <c r="A1" s="7" t="s">
        <v>171</v>
      </c>
      <c r="B1" s="7" t="s">
        <v>166</v>
      </c>
      <c r="C1" s="7" t="s">
        <v>167</v>
      </c>
      <c r="D1" s="7" t="s">
        <v>173</v>
      </c>
    </row>
    <row r="2" spans="1:4">
      <c r="A2" t="s">
        <v>172</v>
      </c>
      <c r="B2">
        <v>5</v>
      </c>
      <c r="C2" s="5">
        <v>0.98099400000000003</v>
      </c>
      <c r="D2" s="10">
        <v>100</v>
      </c>
    </row>
    <row r="3" spans="1:4">
      <c r="A3" t="s">
        <v>172</v>
      </c>
      <c r="B3">
        <v>10</v>
      </c>
      <c r="C3" s="5">
        <v>0.99677199999999999</v>
      </c>
      <c r="D3" s="10">
        <v>97.337271999999999</v>
      </c>
    </row>
    <row r="4" spans="1:4">
      <c r="A4" t="s">
        <v>172</v>
      </c>
      <c r="B4">
        <v>20</v>
      </c>
      <c r="C4" s="5">
        <v>0.99309199999999997</v>
      </c>
      <c r="D4" s="10">
        <v>93.684576000000007</v>
      </c>
    </row>
    <row r="5" spans="1:4">
      <c r="A5" t="s">
        <v>172</v>
      </c>
      <c r="B5">
        <v>40</v>
      </c>
      <c r="C5" s="5">
        <v>1.025441</v>
      </c>
      <c r="D5" s="10">
        <v>95.461076000000006</v>
      </c>
    </row>
    <row r="6" spans="1:4">
      <c r="A6" t="s">
        <v>172</v>
      </c>
      <c r="B6">
        <v>60</v>
      </c>
      <c r="C6" s="5">
        <v>1.0071650000000001</v>
      </c>
      <c r="D6" s="10">
        <v>93.513272999999998</v>
      </c>
    </row>
    <row r="7" spans="1:4">
      <c r="A7" t="s">
        <v>172</v>
      </c>
      <c r="B7">
        <v>100</v>
      </c>
      <c r="C7" s="5">
        <v>0.92227599999999998</v>
      </c>
      <c r="D7" s="10">
        <v>92.971174000000005</v>
      </c>
    </row>
    <row r="8" spans="1:4">
      <c r="A8" s="7" t="s">
        <v>168</v>
      </c>
      <c r="C8" s="8">
        <f>AVERAGE(C2:C7)</f>
        <v>0.98762333333333319</v>
      </c>
    </row>
    <row r="9" spans="1:4">
      <c r="A9" s="7" t="s">
        <v>169</v>
      </c>
      <c r="C9" s="9">
        <f>STDEV(C2:C7)</f>
        <v>3.5326701231032993E-2</v>
      </c>
    </row>
    <row r="10" spans="1:4">
      <c r="A10" s="7" t="s">
        <v>170</v>
      </c>
      <c r="C10" s="8">
        <f>(C9/C8*100)</f>
        <v>3.5769407261573747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</vt:lpstr>
      <vt:lpstr>Example (2)</vt:lpstr>
      <vt:lpstr>summary_results_SST_ADC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Di Ianni</dc:creator>
  <cp:lastModifiedBy>Andrea Di Ianni</cp:lastModifiedBy>
  <dcterms:created xsi:type="dcterms:W3CDTF">2025-07-09T13:53:10Z</dcterms:created>
  <dcterms:modified xsi:type="dcterms:W3CDTF">2026-02-27T14:27:16Z</dcterms:modified>
</cp:coreProperties>
</file>