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O:\Bioanalytical\LC_MS&amp;FD\LC_MS\Projects\Data automation\Paper\"/>
    </mc:Choice>
  </mc:AlternateContent>
  <xr:revisionPtr revIDLastSave="0" documentId="13_ncr:1_{30211053-D6C8-451A-931E-8B77430D3EE2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Summary results" sheetId="1" r:id="rId1"/>
    <sheet name="1" sheetId="2" r:id="rId2"/>
    <sheet name="2" sheetId="3" r:id="rId3"/>
    <sheet name="5" sheetId="4" r:id="rId4"/>
    <sheet name="24" sheetId="5" r:id="rId5"/>
    <sheet name="48" sheetId="6" r:id="rId6"/>
    <sheet name="72" sheetId="7" r:id="rId7"/>
    <sheet name="96" sheetId="8" r:id="rId8"/>
    <sheet name="168" sheetId="9" r:id="rId9"/>
    <sheet name="LIst of glycans" sheetId="10" r:id="rId10"/>
    <sheet name="DAR summary" sheetId="11" r:id="rId11"/>
    <sheet name="Species_ID_mapping" sheetId="12" r:id="rId12"/>
  </sheets>
  <definedNames>
    <definedName name="_xlnm._FilterDatabase" localSheetId="1" hidden="1">'1'!$A$1:$S$1</definedName>
    <definedName name="_xlnm._FilterDatabase" localSheetId="8" hidden="1">'168'!$A$1:$S$471</definedName>
    <definedName name="_xlnm._FilterDatabase" localSheetId="2" hidden="1">'2'!$A$1:$S$1</definedName>
    <definedName name="_xlnm._FilterDatabase" localSheetId="4" hidden="1">'24'!$A$1:$S$471</definedName>
    <definedName name="_xlnm._FilterDatabase" localSheetId="5" hidden="1">'48'!$A$1:$S$471</definedName>
    <definedName name="_xlnm._FilterDatabase" localSheetId="3" hidden="1">'5'!$A$1:$S$471</definedName>
    <definedName name="_xlnm._FilterDatabase" localSheetId="6" hidden="1">'72'!$A$1:$S$471</definedName>
    <definedName name="_xlnm._FilterDatabase" localSheetId="7" hidden="1">'96'!$A$1:$S$471</definedName>
    <definedName name="_xlnm._FilterDatabase" localSheetId="9" hidden="1">'LIst of glycans'!$A$1:$I$201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10" l="1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L31" i="10"/>
  <c r="H31" i="10"/>
  <c r="H30" i="10"/>
  <c r="M29" i="10"/>
  <c r="H29" i="10"/>
  <c r="M28" i="10"/>
  <c r="H28" i="10"/>
  <c r="M27" i="10"/>
  <c r="H27" i="10"/>
  <c r="M26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N6" i="10"/>
  <c r="N7" i="10" s="1"/>
  <c r="H6" i="10"/>
  <c r="N5" i="10"/>
  <c r="H5" i="10"/>
  <c r="H4" i="10"/>
  <c r="H3" i="10"/>
  <c r="H2" i="10"/>
  <c r="D648" i="9"/>
  <c r="G646" i="9"/>
  <c r="F645" i="9"/>
  <c r="D643" i="9"/>
  <c r="G641" i="9"/>
  <c r="F640" i="9"/>
  <c r="G636" i="9"/>
  <c r="F635" i="9"/>
  <c r="D633" i="9"/>
  <c r="G631" i="9"/>
  <c r="F630" i="9"/>
  <c r="B628" i="9"/>
  <c r="G626" i="9"/>
  <c r="F625" i="9"/>
  <c r="G621" i="9"/>
  <c r="F620" i="9"/>
  <c r="D618" i="9"/>
  <c r="C618" i="9"/>
  <c r="G616" i="9"/>
  <c r="F615" i="9"/>
  <c r="D613" i="9"/>
  <c r="G611" i="9"/>
  <c r="F610" i="9"/>
  <c r="B608" i="9"/>
  <c r="G606" i="9"/>
  <c r="F605" i="9"/>
  <c r="J604" i="9"/>
  <c r="J603" i="9"/>
  <c r="D603" i="9"/>
  <c r="J602" i="9"/>
  <c r="J600" i="9"/>
  <c r="J601" i="9" s="1"/>
  <c r="F600" i="9"/>
  <c r="A22" i="9"/>
  <c r="A21" i="9"/>
  <c r="A20" i="9"/>
  <c r="A19" i="9"/>
  <c r="A18" i="9"/>
  <c r="A17" i="9"/>
  <c r="A16" i="9"/>
  <c r="A15" i="9"/>
  <c r="A14" i="9"/>
  <c r="A13" i="9"/>
  <c r="A623" i="9" s="1"/>
  <c r="A12" i="9"/>
  <c r="A11" i="9"/>
  <c r="A10" i="9"/>
  <c r="A9" i="9"/>
  <c r="A8" i="9"/>
  <c r="A7" i="9"/>
  <c r="A6" i="9"/>
  <c r="A603" i="9" s="1"/>
  <c r="A5" i="9"/>
  <c r="C648" i="9" s="1"/>
  <c r="A4" i="9"/>
  <c r="G3" i="9"/>
  <c r="A3" i="9"/>
  <c r="G2" i="9"/>
  <c r="A2" i="9"/>
  <c r="B603" i="9" s="1"/>
  <c r="B648" i="8"/>
  <c r="G646" i="8"/>
  <c r="F645" i="8"/>
  <c r="G641" i="8"/>
  <c r="F640" i="8"/>
  <c r="G636" i="8"/>
  <c r="F635" i="8"/>
  <c r="G631" i="8"/>
  <c r="F630" i="8"/>
  <c r="G626" i="8"/>
  <c r="F625" i="8"/>
  <c r="D623" i="8"/>
  <c r="G621" i="8"/>
  <c r="F620" i="8"/>
  <c r="G616" i="8"/>
  <c r="F615" i="8"/>
  <c r="A613" i="8"/>
  <c r="G611" i="8"/>
  <c r="F610" i="8"/>
  <c r="G606" i="8"/>
  <c r="F605" i="8"/>
  <c r="J603" i="8"/>
  <c r="A643" i="8" s="1"/>
  <c r="C603" i="8"/>
  <c r="J602" i="8"/>
  <c r="A608" i="8" s="1"/>
  <c r="J600" i="8"/>
  <c r="J601" i="8" s="1"/>
  <c r="F600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G6" i="8"/>
  <c r="A6" i="8"/>
  <c r="G5" i="8"/>
  <c r="A5" i="8"/>
  <c r="G4" i="8"/>
  <c r="A4" i="8"/>
  <c r="A3" i="8"/>
  <c r="G2" i="8"/>
  <c r="A2" i="8"/>
  <c r="A648" i="7"/>
  <c r="G646" i="7"/>
  <c r="F645" i="7"/>
  <c r="D643" i="7"/>
  <c r="G641" i="7"/>
  <c r="F640" i="7"/>
  <c r="D638" i="7"/>
  <c r="A638" i="7"/>
  <c r="G636" i="7"/>
  <c r="F635" i="7"/>
  <c r="G631" i="7"/>
  <c r="F630" i="7"/>
  <c r="D628" i="7"/>
  <c r="G626" i="7"/>
  <c r="F625" i="7"/>
  <c r="G621" i="7"/>
  <c r="F620" i="7"/>
  <c r="A618" i="7"/>
  <c r="G616" i="7"/>
  <c r="F615" i="7"/>
  <c r="D613" i="7"/>
  <c r="G611" i="7"/>
  <c r="F610" i="7"/>
  <c r="D608" i="7"/>
  <c r="A608" i="7"/>
  <c r="G606" i="7"/>
  <c r="F605" i="7"/>
  <c r="J603" i="7"/>
  <c r="C633" i="7" s="1"/>
  <c r="C603" i="7"/>
  <c r="J602" i="7"/>
  <c r="J601" i="7"/>
  <c r="J600" i="7"/>
  <c r="F600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G6" i="7"/>
  <c r="A6" i="7"/>
  <c r="A5" i="7"/>
  <c r="G4" i="7"/>
  <c r="A4" i="7"/>
  <c r="G3" i="7"/>
  <c r="A3" i="7"/>
  <c r="G2" i="7"/>
  <c r="A2" i="7"/>
  <c r="C623" i="7" s="1"/>
  <c r="G646" i="6"/>
  <c r="F645" i="6"/>
  <c r="G641" i="6"/>
  <c r="F640" i="6"/>
  <c r="G636" i="6"/>
  <c r="F635" i="6"/>
  <c r="C633" i="6"/>
  <c r="G631" i="6"/>
  <c r="F630" i="6"/>
  <c r="G626" i="6"/>
  <c r="F625" i="6"/>
  <c r="C623" i="6"/>
  <c r="B623" i="6"/>
  <c r="G621" i="6"/>
  <c r="F620" i="6"/>
  <c r="A618" i="6"/>
  <c r="G616" i="6"/>
  <c r="F615" i="6"/>
  <c r="C613" i="6"/>
  <c r="G611" i="6"/>
  <c r="F610" i="6"/>
  <c r="G606" i="6"/>
  <c r="F605" i="6"/>
  <c r="J603" i="6"/>
  <c r="A648" i="6" s="1"/>
  <c r="J602" i="6"/>
  <c r="J600" i="6"/>
  <c r="J601" i="6" s="1"/>
  <c r="F600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G8" i="6"/>
  <c r="A8" i="6"/>
  <c r="G7" i="6"/>
  <c r="A7" i="6"/>
  <c r="D633" i="6" s="1"/>
  <c r="G6" i="6"/>
  <c r="A6" i="6"/>
  <c r="A5" i="6"/>
  <c r="G4" i="6"/>
  <c r="A4" i="6"/>
  <c r="A3" i="6"/>
  <c r="G2" i="6"/>
  <c r="A2" i="6"/>
  <c r="A648" i="5"/>
  <c r="G646" i="5"/>
  <c r="F645" i="5"/>
  <c r="G641" i="5"/>
  <c r="F640" i="5"/>
  <c r="D638" i="5"/>
  <c r="B638" i="5"/>
  <c r="G636" i="5"/>
  <c r="F635" i="5"/>
  <c r="G631" i="5"/>
  <c r="F630" i="5"/>
  <c r="G626" i="5"/>
  <c r="F625" i="5"/>
  <c r="B623" i="5"/>
  <c r="G621" i="5"/>
  <c r="F620" i="5"/>
  <c r="G616" i="5"/>
  <c r="F615" i="5"/>
  <c r="C613" i="5"/>
  <c r="G611" i="5"/>
  <c r="F610" i="5"/>
  <c r="D608" i="5"/>
  <c r="G606" i="5"/>
  <c r="F605" i="5"/>
  <c r="J603" i="5"/>
  <c r="D603" i="5"/>
  <c r="J602" i="5"/>
  <c r="J601" i="5"/>
  <c r="J600" i="5"/>
  <c r="F600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G8" i="5"/>
  <c r="A8" i="5"/>
  <c r="C623" i="5" s="1"/>
  <c r="G7" i="5"/>
  <c r="A7" i="5"/>
  <c r="G6" i="5"/>
  <c r="A6" i="5"/>
  <c r="A5" i="5"/>
  <c r="A628" i="5" s="1"/>
  <c r="G4" i="5"/>
  <c r="A4" i="5"/>
  <c r="A3" i="5"/>
  <c r="G2" i="5"/>
  <c r="A2" i="5"/>
  <c r="C628" i="5" s="1"/>
  <c r="G646" i="4"/>
  <c r="F645" i="4"/>
  <c r="G641" i="4"/>
  <c r="F640" i="4"/>
  <c r="G636" i="4"/>
  <c r="F635" i="4"/>
  <c r="G631" i="4"/>
  <c r="F630" i="4"/>
  <c r="G626" i="4"/>
  <c r="F625" i="4"/>
  <c r="G621" i="4"/>
  <c r="F620" i="4"/>
  <c r="G616" i="4"/>
  <c r="F615" i="4"/>
  <c r="G611" i="4"/>
  <c r="F610" i="4"/>
  <c r="G606" i="4"/>
  <c r="F605" i="4"/>
  <c r="J603" i="4"/>
  <c r="D638" i="4" s="1"/>
  <c r="J602" i="4"/>
  <c r="A628" i="4" s="1"/>
  <c r="J600" i="4"/>
  <c r="J601" i="4" s="1"/>
  <c r="F600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G8" i="4"/>
  <c r="A8" i="4"/>
  <c r="G7" i="4"/>
  <c r="A7" i="4"/>
  <c r="G6" i="4"/>
  <c r="A6" i="4"/>
  <c r="A5" i="4"/>
  <c r="G4" i="4"/>
  <c r="A4" i="4"/>
  <c r="A3" i="4"/>
  <c r="A2" i="4"/>
  <c r="E137" i="3"/>
  <c r="H126" i="3"/>
  <c r="H128" i="3" s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G8" i="3"/>
  <c r="A8" i="3"/>
  <c r="G7" i="3"/>
  <c r="A7" i="3"/>
  <c r="G6" i="3"/>
  <c r="A6" i="3"/>
  <c r="A5" i="3"/>
  <c r="G4" i="3"/>
  <c r="A4" i="3"/>
  <c r="A3" i="3"/>
  <c r="A2" i="3"/>
  <c r="E137" i="2"/>
  <c r="H126" i="2"/>
  <c r="H128" i="2" s="1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G8" i="2"/>
  <c r="A8" i="2"/>
  <c r="G7" i="2"/>
  <c r="A7" i="2"/>
  <c r="G6" i="2"/>
  <c r="A6" i="2"/>
  <c r="A5" i="2"/>
  <c r="G4" i="2"/>
  <c r="A4" i="2"/>
  <c r="A3" i="2"/>
  <c r="A2" i="2"/>
  <c r="F643" i="8" l="1"/>
  <c r="G643" i="8" s="1"/>
  <c r="F642" i="8"/>
  <c r="G642" i="8" s="1"/>
  <c r="D633" i="4"/>
  <c r="A643" i="6"/>
  <c r="B638" i="7"/>
  <c r="F638" i="7" s="1"/>
  <c r="G638" i="7" s="1"/>
  <c r="J604" i="8"/>
  <c r="C613" i="8"/>
  <c r="C648" i="8"/>
  <c r="A643" i="9"/>
  <c r="C638" i="5"/>
  <c r="A633" i="5"/>
  <c r="C608" i="5"/>
  <c r="C648" i="5"/>
  <c r="A643" i="5"/>
  <c r="C618" i="5"/>
  <c r="A613" i="5"/>
  <c r="A603" i="5"/>
  <c r="D613" i="5"/>
  <c r="A623" i="5"/>
  <c r="B643" i="6"/>
  <c r="A638" i="8"/>
  <c r="B643" i="9"/>
  <c r="A608" i="6"/>
  <c r="D613" i="4"/>
  <c r="D628" i="4"/>
  <c r="D643" i="4"/>
  <c r="B633" i="5"/>
  <c r="B648" i="6"/>
  <c r="C618" i="6"/>
  <c r="B618" i="8"/>
  <c r="B628" i="8"/>
  <c r="C633" i="5"/>
  <c r="C643" i="5"/>
  <c r="A603" i="6"/>
  <c r="D618" i="6"/>
  <c r="A628" i="6"/>
  <c r="B608" i="7"/>
  <c r="F607" i="7" s="1"/>
  <c r="G607" i="7" s="1"/>
  <c r="C618" i="8"/>
  <c r="B648" i="9"/>
  <c r="C648" i="4"/>
  <c r="A643" i="4"/>
  <c r="C618" i="4"/>
  <c r="A613" i="4"/>
  <c r="A603" i="4"/>
  <c r="C628" i="4"/>
  <c r="A623" i="4"/>
  <c r="C643" i="4"/>
  <c r="A638" i="4"/>
  <c r="C613" i="4"/>
  <c r="A608" i="4"/>
  <c r="C603" i="4"/>
  <c r="D648" i="4"/>
  <c r="B608" i="4"/>
  <c r="B623" i="4"/>
  <c r="B638" i="4"/>
  <c r="A608" i="5"/>
  <c r="D643" i="5"/>
  <c r="B603" i="6"/>
  <c r="F618" i="6"/>
  <c r="G618" i="6" s="1"/>
  <c r="B628" i="6"/>
  <c r="C643" i="7"/>
  <c r="B613" i="4"/>
  <c r="B628" i="4"/>
  <c r="F627" i="4" s="1"/>
  <c r="G627" i="4" s="1"/>
  <c r="B643" i="4"/>
  <c r="B603" i="4"/>
  <c r="C608" i="4"/>
  <c r="C623" i="4"/>
  <c r="C638" i="4"/>
  <c r="B608" i="5"/>
  <c r="C603" i="6"/>
  <c r="C651" i="6" s="1"/>
  <c r="D628" i="6"/>
  <c r="A638" i="6"/>
  <c r="A613" i="9"/>
  <c r="C643" i="6"/>
  <c r="D628" i="9"/>
  <c r="B623" i="9"/>
  <c r="C638" i="9"/>
  <c r="A633" i="9"/>
  <c r="C613" i="9"/>
  <c r="A648" i="9"/>
  <c r="C623" i="9"/>
  <c r="F623" i="9" s="1"/>
  <c r="G623" i="9" s="1"/>
  <c r="D608" i="4"/>
  <c r="A618" i="5"/>
  <c r="D643" i="6"/>
  <c r="B638" i="6"/>
  <c r="D613" i="6"/>
  <c r="B608" i="6"/>
  <c r="D603" i="6"/>
  <c r="C628" i="6"/>
  <c r="A623" i="6"/>
  <c r="C638" i="6"/>
  <c r="A633" i="6"/>
  <c r="C608" i="6"/>
  <c r="C648" i="6"/>
  <c r="F647" i="6" s="1"/>
  <c r="G647" i="6" s="1"/>
  <c r="B633" i="7"/>
  <c r="J604" i="6"/>
  <c r="A613" i="6"/>
  <c r="D648" i="6"/>
  <c r="B623" i="7"/>
  <c r="C628" i="8"/>
  <c r="A623" i="8"/>
  <c r="D638" i="8"/>
  <c r="B633" i="8"/>
  <c r="D608" i="8"/>
  <c r="C638" i="8"/>
  <c r="A633" i="8"/>
  <c r="C608" i="8"/>
  <c r="C651" i="8" s="1"/>
  <c r="D643" i="8"/>
  <c r="B638" i="8"/>
  <c r="D613" i="8"/>
  <c r="B608" i="8"/>
  <c r="F608" i="8" s="1"/>
  <c r="G608" i="8" s="1"/>
  <c r="D603" i="8"/>
  <c r="D648" i="8"/>
  <c r="B643" i="8"/>
  <c r="D618" i="8"/>
  <c r="B613" i="8"/>
  <c r="F613" i="8" s="1"/>
  <c r="G613" i="8" s="1"/>
  <c r="B603" i="8"/>
  <c r="A648" i="8"/>
  <c r="C623" i="8"/>
  <c r="A618" i="8"/>
  <c r="D628" i="8"/>
  <c r="B623" i="8"/>
  <c r="C633" i="8"/>
  <c r="C643" i="8"/>
  <c r="A608" i="9"/>
  <c r="A618" i="9"/>
  <c r="C633" i="9"/>
  <c r="B638" i="9"/>
  <c r="B618" i="4"/>
  <c r="B633" i="4"/>
  <c r="B648" i="4"/>
  <c r="J604" i="4"/>
  <c r="D618" i="4"/>
  <c r="C633" i="4"/>
  <c r="A628" i="8"/>
  <c r="D603" i="4"/>
  <c r="D623" i="4"/>
  <c r="B648" i="7"/>
  <c r="F647" i="7" s="1"/>
  <c r="G647" i="7" s="1"/>
  <c r="C628" i="9"/>
  <c r="C608" i="9"/>
  <c r="C603" i="9"/>
  <c r="C651" i="9" s="1"/>
  <c r="B613" i="9"/>
  <c r="B648" i="5"/>
  <c r="F647" i="5" s="1"/>
  <c r="G647" i="5" s="1"/>
  <c r="A618" i="4"/>
  <c r="A633" i="4"/>
  <c r="A648" i="4"/>
  <c r="C603" i="5"/>
  <c r="C651" i="5" s="1"/>
  <c r="D628" i="5"/>
  <c r="A638" i="5"/>
  <c r="B613" i="6"/>
  <c r="D603" i="7"/>
  <c r="C613" i="7"/>
  <c r="A603" i="8"/>
  <c r="D633" i="8"/>
  <c r="A603" i="7"/>
  <c r="A613" i="7"/>
  <c r="C618" i="7"/>
  <c r="A643" i="7"/>
  <c r="C648" i="7"/>
  <c r="B603" i="5"/>
  <c r="B613" i="5"/>
  <c r="D618" i="5"/>
  <c r="B643" i="5"/>
  <c r="D648" i="5"/>
  <c r="F648" i="5" s="1"/>
  <c r="G648" i="5" s="1"/>
  <c r="D608" i="6"/>
  <c r="B633" i="6"/>
  <c r="D638" i="6"/>
  <c r="B603" i="7"/>
  <c r="B613" i="7"/>
  <c r="D618" i="7"/>
  <c r="B643" i="7"/>
  <c r="D648" i="7"/>
  <c r="B618" i="9"/>
  <c r="D623" i="9"/>
  <c r="C608" i="7"/>
  <c r="C651" i="7" s="1"/>
  <c r="A633" i="7"/>
  <c r="C638" i="7"/>
  <c r="A638" i="9"/>
  <c r="C643" i="9"/>
  <c r="A628" i="7"/>
  <c r="J604" i="5"/>
  <c r="B628" i="5"/>
  <c r="F627" i="5" s="1"/>
  <c r="G627" i="5" s="1"/>
  <c r="D633" i="5"/>
  <c r="B618" i="6"/>
  <c r="F617" i="6" s="1"/>
  <c r="G617" i="6" s="1"/>
  <c r="D623" i="6"/>
  <c r="J604" i="7"/>
  <c r="B628" i="7"/>
  <c r="D633" i="7"/>
  <c r="D608" i="9"/>
  <c r="B633" i="9"/>
  <c r="D638" i="9"/>
  <c r="A623" i="7"/>
  <c r="C628" i="7"/>
  <c r="A628" i="9"/>
  <c r="B618" i="5"/>
  <c r="D623" i="5"/>
  <c r="B618" i="7"/>
  <c r="F618" i="7" s="1"/>
  <c r="G618" i="7" s="1"/>
  <c r="D623" i="7"/>
  <c r="F638" i="6" l="1"/>
  <c r="G638" i="6" s="1"/>
  <c r="F637" i="6"/>
  <c r="G637" i="6" s="1"/>
  <c r="F618" i="5"/>
  <c r="G618" i="5" s="1"/>
  <c r="F617" i="5"/>
  <c r="G617" i="5" s="1"/>
  <c r="F648" i="6"/>
  <c r="G648" i="6" s="1"/>
  <c r="F607" i="6"/>
  <c r="G607" i="6" s="1"/>
  <c r="F608" i="6"/>
  <c r="G608" i="6" s="1"/>
  <c r="F647" i="9"/>
  <c r="G647" i="9" s="1"/>
  <c r="F648" i="9"/>
  <c r="G648" i="9" s="1"/>
  <c r="F643" i="5"/>
  <c r="G643" i="5" s="1"/>
  <c r="F642" i="5"/>
  <c r="G642" i="5" s="1"/>
  <c r="F618" i="9"/>
  <c r="G618" i="9" s="1"/>
  <c r="F617" i="9"/>
  <c r="G617" i="9" s="1"/>
  <c r="F613" i="4"/>
  <c r="G613" i="4" s="1"/>
  <c r="F612" i="4"/>
  <c r="G612" i="4" s="1"/>
  <c r="F608" i="7"/>
  <c r="G608" i="7" s="1"/>
  <c r="F637" i="7"/>
  <c r="G637" i="7" s="1"/>
  <c r="F622" i="9"/>
  <c r="G622" i="9" s="1"/>
  <c r="F627" i="8"/>
  <c r="G627" i="8" s="1"/>
  <c r="F628" i="8"/>
  <c r="G628" i="8" s="1"/>
  <c r="F608" i="9"/>
  <c r="G608" i="9" s="1"/>
  <c r="F607" i="9"/>
  <c r="G607" i="9" s="1"/>
  <c r="F622" i="8"/>
  <c r="G622" i="8" s="1"/>
  <c r="F623" i="8"/>
  <c r="G623" i="8" s="1"/>
  <c r="F622" i="6"/>
  <c r="G622" i="6" s="1"/>
  <c r="F623" i="6"/>
  <c r="G623" i="6" s="1"/>
  <c r="F633" i="9"/>
  <c r="G633" i="9" s="1"/>
  <c r="F632" i="9"/>
  <c r="G632" i="9" s="1"/>
  <c r="F603" i="9"/>
  <c r="G603" i="9" s="1"/>
  <c r="F627" i="6"/>
  <c r="G627" i="6" s="1"/>
  <c r="F628" i="6"/>
  <c r="G628" i="6" s="1"/>
  <c r="F623" i="4"/>
  <c r="G623" i="4" s="1"/>
  <c r="F622" i="4"/>
  <c r="G622" i="4" s="1"/>
  <c r="F627" i="9"/>
  <c r="G627" i="9" s="1"/>
  <c r="F628" i="9"/>
  <c r="G628" i="9" s="1"/>
  <c r="F643" i="7"/>
  <c r="G643" i="7" s="1"/>
  <c r="F642" i="7"/>
  <c r="G642" i="7" s="1"/>
  <c r="F647" i="4"/>
  <c r="G647" i="4" s="1"/>
  <c r="F648" i="4"/>
  <c r="G648" i="4" s="1"/>
  <c r="F612" i="8"/>
  <c r="G612" i="8" s="1"/>
  <c r="F642" i="4"/>
  <c r="G642" i="4" s="1"/>
  <c r="F643" i="4"/>
  <c r="G643" i="4" s="1"/>
  <c r="F633" i="5"/>
  <c r="G633" i="5" s="1"/>
  <c r="F632" i="5"/>
  <c r="G632" i="5" s="1"/>
  <c r="F602" i="9"/>
  <c r="G602" i="9" s="1"/>
  <c r="F603" i="8"/>
  <c r="G603" i="8" s="1"/>
  <c r="F602" i="8"/>
  <c r="G602" i="8" s="1"/>
  <c r="F633" i="8"/>
  <c r="G633" i="8" s="1"/>
  <c r="F632" i="8"/>
  <c r="G632" i="8" s="1"/>
  <c r="F603" i="4"/>
  <c r="G603" i="4" s="1"/>
  <c r="F602" i="4"/>
  <c r="G602" i="4" s="1"/>
  <c r="F617" i="7"/>
  <c r="G617" i="7" s="1"/>
  <c r="F648" i="7"/>
  <c r="G648" i="7" s="1"/>
  <c r="F607" i="8"/>
  <c r="G607" i="8" s="1"/>
  <c r="F633" i="7"/>
  <c r="G633" i="7" s="1"/>
  <c r="F632" i="7"/>
  <c r="G632" i="7" s="1"/>
  <c r="F603" i="5"/>
  <c r="G603" i="5" s="1"/>
  <c r="F602" i="5"/>
  <c r="G602" i="5" s="1"/>
  <c r="F613" i="5"/>
  <c r="G613" i="5" s="1"/>
  <c r="F612" i="5"/>
  <c r="G612" i="5" s="1"/>
  <c r="F603" i="6"/>
  <c r="G603" i="6" s="1"/>
  <c r="F602" i="6"/>
  <c r="G602" i="6" s="1"/>
  <c r="F633" i="6"/>
  <c r="G633" i="6" s="1"/>
  <c r="F632" i="6"/>
  <c r="G632" i="6" s="1"/>
  <c r="F607" i="5"/>
  <c r="G607" i="5" s="1"/>
  <c r="F608" i="5"/>
  <c r="G608" i="5" s="1"/>
  <c r="F633" i="4"/>
  <c r="G633" i="4" s="1"/>
  <c r="F632" i="4"/>
  <c r="G632" i="4" s="1"/>
  <c r="F622" i="7"/>
  <c r="G622" i="7" s="1"/>
  <c r="F623" i="7"/>
  <c r="G623" i="7" s="1"/>
  <c r="F627" i="7"/>
  <c r="G627" i="7" s="1"/>
  <c r="F628" i="7"/>
  <c r="G628" i="7" s="1"/>
  <c r="F613" i="7"/>
  <c r="G613" i="7" s="1"/>
  <c r="F612" i="7"/>
  <c r="G612" i="7" s="1"/>
  <c r="F617" i="4"/>
  <c r="G617" i="4" s="1"/>
  <c r="F618" i="4"/>
  <c r="G618" i="4" s="1"/>
  <c r="C651" i="4"/>
  <c r="F638" i="8"/>
  <c r="G638" i="8" s="1"/>
  <c r="F637" i="8"/>
  <c r="G637" i="8" s="1"/>
  <c r="F643" i="9"/>
  <c r="G643" i="9" s="1"/>
  <c r="F642" i="9"/>
  <c r="G642" i="9" s="1"/>
  <c r="F647" i="8"/>
  <c r="G647" i="8" s="1"/>
  <c r="F648" i="8"/>
  <c r="G648" i="8" s="1"/>
  <c r="F643" i="6"/>
  <c r="G643" i="6" s="1"/>
  <c r="F642" i="6"/>
  <c r="G642" i="6" s="1"/>
  <c r="F603" i="7"/>
  <c r="G603" i="7" s="1"/>
  <c r="F602" i="7"/>
  <c r="G602" i="7" s="1"/>
  <c r="F608" i="4"/>
  <c r="G608" i="4" s="1"/>
  <c r="F607" i="4"/>
  <c r="G607" i="4" s="1"/>
  <c r="F628" i="5"/>
  <c r="G628" i="5" s="1"/>
  <c r="F628" i="4"/>
  <c r="G628" i="4" s="1"/>
  <c r="F637" i="4"/>
  <c r="G637" i="4" s="1"/>
  <c r="F638" i="4"/>
  <c r="G638" i="4" s="1"/>
  <c r="F637" i="5"/>
  <c r="G637" i="5" s="1"/>
  <c r="F638" i="5"/>
  <c r="G638" i="5" s="1"/>
  <c r="F638" i="9"/>
  <c r="G638" i="9" s="1"/>
  <c r="F637" i="9"/>
  <c r="G637" i="9" s="1"/>
  <c r="F617" i="8"/>
  <c r="G617" i="8" s="1"/>
  <c r="F618" i="8"/>
  <c r="G618" i="8" s="1"/>
  <c r="F613" i="6"/>
  <c r="G613" i="6" s="1"/>
  <c r="F612" i="6"/>
  <c r="G612" i="6" s="1"/>
  <c r="F613" i="9"/>
  <c r="G613" i="9" s="1"/>
  <c r="F612" i="9"/>
  <c r="G612" i="9" s="1"/>
  <c r="F623" i="5"/>
  <c r="G623" i="5" s="1"/>
  <c r="F622" i="5"/>
  <c r="G622" i="5" s="1"/>
  <c r="G651" i="8" l="1"/>
  <c r="J605" i="8" s="1"/>
  <c r="G651" i="9"/>
  <c r="J605" i="9" s="1"/>
  <c r="J607" i="8"/>
  <c r="G651" i="5"/>
  <c r="J605" i="5" s="1"/>
  <c r="G651" i="7"/>
  <c r="J605" i="7" s="1"/>
  <c r="G651" i="4"/>
  <c r="J605" i="4" s="1"/>
  <c r="G651" i="6"/>
  <c r="J605" i="6" s="1"/>
  <c r="J607" i="6" l="1"/>
  <c r="J607" i="4"/>
  <c r="J607" i="7"/>
  <c r="J607" i="9"/>
  <c r="J607" i="5"/>
</calcChain>
</file>

<file path=xl/sharedStrings.xml><?xml version="1.0" encoding="utf-8"?>
<sst xmlns="http://schemas.openxmlformats.org/spreadsheetml/2006/main" count="2201" uniqueCount="768">
  <si>
    <t>Average Mass</t>
  </si>
  <si>
    <t>Chain</t>
  </si>
  <si>
    <t>DAR</t>
  </si>
  <si>
    <t>Protein Name</t>
  </si>
  <si>
    <t>Modification</t>
  </si>
  <si>
    <t>Theoretical Mass (Da)</t>
  </si>
  <si>
    <t>Matched Mass Error (ppm)</t>
  </si>
  <si>
    <t>Sum Intensity</t>
  </si>
  <si>
    <t>Relative Abundance</t>
  </si>
  <si>
    <t>Fractional Abundance</t>
  </si>
  <si>
    <t>Score</t>
  </si>
  <si>
    <t>Number of Charge States</t>
  </si>
  <si>
    <t>Charge State Distribution</t>
  </si>
  <si>
    <t>Number of Detected Intervals</t>
  </si>
  <si>
    <t>Delta Mass</t>
  </si>
  <si>
    <t>Scan Range</t>
  </si>
  <si>
    <t>Start Time (min)</t>
  </si>
  <si>
    <t>Stop Time (min)</t>
  </si>
  <si>
    <t>Apex RT</t>
  </si>
  <si>
    <t>Trastuzumab ADC_2K_loss_deglyc</t>
  </si>
  <si>
    <t>1x vc-PABC-MMAE_deg4,1x vc-PABC-MMAE</t>
  </si>
  <si>
    <t>39 - 80</t>
  </si>
  <si>
    <t>1250 - 1606</t>
  </si>
  <si>
    <t>2x vc-PABC-MMAE</t>
  </si>
  <si>
    <t>39 - 76</t>
  </si>
  <si>
    <t>Trastuzumab ADC_2K_loss_deglyc_A2G0F</t>
  </si>
  <si>
    <t>39 - 69</t>
  </si>
  <si>
    <t>2x vc-PABC-MMAE_deg4</t>
  </si>
  <si>
    <t>40 - 74</t>
  </si>
  <si>
    <t>Trastuzumab ADC_2K_loss_deglyc_A2G1F</t>
  </si>
  <si>
    <t>42 - 70</t>
  </si>
  <si>
    <t>42 - 64</t>
  </si>
  <si>
    <t>43 - 61</t>
  </si>
  <si>
    <t>1250 - 1566</t>
  </si>
  <si>
    <t>51 - 66</t>
  </si>
  <si>
    <t>1263 - 1548</t>
  </si>
  <si>
    <t>1x vc-PABC-MMAE_deg1,1x vc-PABC-MMAE_deg5</t>
  </si>
  <si>
    <t>47 - 73</t>
  </si>
  <si>
    <t>1250 - 1595</t>
  </si>
  <si>
    <t>45 - 65</t>
  </si>
  <si>
    <t>1250 - 1530</t>
  </si>
  <si>
    <t>1x vc-PABC-MMAE_deg2</t>
  </si>
  <si>
    <t>48 - 71</t>
  </si>
  <si>
    <t>44 - 61</t>
  </si>
  <si>
    <t>1250 - 1582</t>
  </si>
  <si>
    <t>47 - 61</t>
  </si>
  <si>
    <t>1276 - 1566</t>
  </si>
  <si>
    <t>47 - 59</t>
  </si>
  <si>
    <t>1263 - 1485</t>
  </si>
  <si>
    <t>54 - 63</t>
  </si>
  <si>
    <t>50 - 63</t>
  </si>
  <si>
    <t>1263 - 1530</t>
  </si>
  <si>
    <t>48 - 70</t>
  </si>
  <si>
    <t>24 - 30</t>
  </si>
  <si>
    <t>1263 - 1437</t>
  </si>
  <si>
    <t>47 - 71</t>
  </si>
  <si>
    <t>1276 - 1606</t>
  </si>
  <si>
    <t>29 - 38</t>
  </si>
  <si>
    <t>1317 - 1606</t>
  </si>
  <si>
    <t>47 - 55</t>
  </si>
  <si>
    <t>1276 - 1530</t>
  </si>
  <si>
    <t>Trastuzumab ADC_1K_loss_deglyc</t>
  </si>
  <si>
    <t>1x vc-PABC-MMAE_deg2,1x vc-PABC-MMAE_deg3</t>
  </si>
  <si>
    <t>45 - 59</t>
  </si>
  <si>
    <t>1366 - 1566</t>
  </si>
  <si>
    <t>14 - 20</t>
  </si>
  <si>
    <t>1263 - 1413</t>
  </si>
  <si>
    <t>12 - 18</t>
  </si>
  <si>
    <t>1317 - 1530</t>
  </si>
  <si>
    <t>33 - 44</t>
  </si>
  <si>
    <t>1390 - 1530</t>
  </si>
  <si>
    <t>22 - 28</t>
  </si>
  <si>
    <t>1263 - 1508</t>
  </si>
  <si>
    <t>42 - 48</t>
  </si>
  <si>
    <t>1179 - 1292</t>
  </si>
  <si>
    <t>43 - 48</t>
  </si>
  <si>
    <t>42 - 47</t>
  </si>
  <si>
    <t>1199 - 1292</t>
  </si>
  <si>
    <t>Explained area % STD2</t>
  </si>
  <si>
    <t>Explained area % mouse_plasma_06</t>
  </si>
  <si>
    <t>% Carry over</t>
  </si>
  <si>
    <t>Lys addition - PyroQ</t>
  </si>
  <si>
    <t>Fucose</t>
  </si>
  <si>
    <t>38 - 77</t>
  </si>
  <si>
    <t>1257 - 1613</t>
  </si>
  <si>
    <t>38 - 72</t>
  </si>
  <si>
    <t>42 - 73</t>
  </si>
  <si>
    <t>41 - 72</t>
  </si>
  <si>
    <t>43 - 69</t>
  </si>
  <si>
    <t>41 - 65</t>
  </si>
  <si>
    <t>1270 - 1572</t>
  </si>
  <si>
    <t>42 - 60</t>
  </si>
  <si>
    <t>1257 - 1601</t>
  </si>
  <si>
    <t>51 - 60</t>
  </si>
  <si>
    <t>1257 - 1555</t>
  </si>
  <si>
    <t>46 - 73</t>
  </si>
  <si>
    <t>1282 - 1588</t>
  </si>
  <si>
    <t>48 - 68</t>
  </si>
  <si>
    <t>1270 - 1601</t>
  </si>
  <si>
    <t>47 - 70</t>
  </si>
  <si>
    <t>1257 - 1572</t>
  </si>
  <si>
    <t>1257 - 1491</t>
  </si>
  <si>
    <t>50 - 60</t>
  </si>
  <si>
    <t>1270 - 1555</t>
  </si>
  <si>
    <t>48 - 64</t>
  </si>
  <si>
    <t>1282 - 1491</t>
  </si>
  <si>
    <t>22 - 33</t>
  </si>
  <si>
    <t>1299 - 1572</t>
  </si>
  <si>
    <t>49 - 58</t>
  </si>
  <si>
    <t>1299 - 1536</t>
  </si>
  <si>
    <t>40 - 49</t>
  </si>
  <si>
    <t>1270 - 1536</t>
  </si>
  <si>
    <t>20 - 26</t>
  </si>
  <si>
    <t>1282 - 1419</t>
  </si>
  <si>
    <t>1299 - 1443</t>
  </si>
  <si>
    <t>49 - 63</t>
  </si>
  <si>
    <t>1371 - 1536</t>
  </si>
  <si>
    <t>48 - 60</t>
  </si>
  <si>
    <t>1347 - 1555</t>
  </si>
  <si>
    <t>35 - 45</t>
  </si>
  <si>
    <t>1395 - 1588</t>
  </si>
  <si>
    <t>1269 - 1623</t>
  </si>
  <si>
    <t>39 - 74</t>
  </si>
  <si>
    <t>1256 - 1623</t>
  </si>
  <si>
    <t>42 - 69</t>
  </si>
  <si>
    <t>42 - 63</t>
  </si>
  <si>
    <t>1269 - 1612</t>
  </si>
  <si>
    <t>1293 - 1570</t>
  </si>
  <si>
    <t>1293 - 1623</t>
  </si>
  <si>
    <t>1269 - 1600</t>
  </si>
  <si>
    <t>1281 - 1586</t>
  </si>
  <si>
    <t>45 - 66</t>
  </si>
  <si>
    <t>49 - 62</t>
  </si>
  <si>
    <t>47 - 58</t>
  </si>
  <si>
    <t>1311 - 1534</t>
  </si>
  <si>
    <t>46 - 59</t>
  </si>
  <si>
    <t>1269 - 1570</t>
  </si>
  <si>
    <t>1269 - 1468</t>
  </si>
  <si>
    <t>48 - 66</t>
  </si>
  <si>
    <t>1281 - 1513</t>
  </si>
  <si>
    <t>1293 - 1534</t>
  </si>
  <si>
    <t>48 - 67</t>
  </si>
  <si>
    <t>1269 - 1491</t>
  </si>
  <si>
    <t>23 - 30</t>
  </si>
  <si>
    <t>Trastuzumab ADC_intact_deglyc</t>
  </si>
  <si>
    <t>48 - 58</t>
  </si>
  <si>
    <t>1334 - 1570</t>
  </si>
  <si>
    <t>40 - 48</t>
  </si>
  <si>
    <t>1293 - 1446</t>
  </si>
  <si>
    <t>37 - 48</t>
  </si>
  <si>
    <t>1269 - 1401</t>
  </si>
  <si>
    <t>32 - 39</t>
  </si>
  <si>
    <t>1311 - 1446</t>
  </si>
  <si>
    <t>30 - 38</t>
  </si>
  <si>
    <t>1269 - 1378</t>
  </si>
  <si>
    <t>16 - 25</t>
  </si>
  <si>
    <t>1334 - 1468</t>
  </si>
  <si>
    <t>46 - 55</t>
  </si>
  <si>
    <t>1357 - 1513</t>
  </si>
  <si>
    <t>25 - 31</t>
  </si>
  <si>
    <t>1357 - 1491</t>
  </si>
  <si>
    <t>21 - 34</t>
  </si>
  <si>
    <t>1293 - 1600</t>
  </si>
  <si>
    <t>23 - 31</t>
  </si>
  <si>
    <t>1379 - 1513</t>
  </si>
  <si>
    <t>40 - 45</t>
  </si>
  <si>
    <t>1208 - 1310</t>
  </si>
  <si>
    <t>PPB31405_deglyc_2K_2pQ_2GSH_1Cys_8Ox</t>
  </si>
  <si>
    <t>Tot Area sum</t>
  </si>
  <si>
    <t>Mean DAR w/ cut-off</t>
  </si>
  <si>
    <t>% Explained</t>
  </si>
  <si>
    <t>Area % cut-off</t>
  </si>
  <si>
    <t>Accuracy cut-off</t>
  </si>
  <si>
    <t>Tot Area sum w/ cut-off</t>
  </si>
  <si>
    <t>PPB31405_deglyc_2K_2pQ_2GSH_1Cys_5Ox</t>
  </si>
  <si>
    <t>% Explained w/ cut-off</t>
  </si>
  <si>
    <t>PPB31405_deglyc_2K_2pQ_2GSH_5Ox</t>
  </si>
  <si>
    <t>PPB31405_deglyc_2K_2pQ_1GSH_2Ox</t>
  </si>
  <si>
    <t>PPB31405_deglyc_2GK_2pQ</t>
  </si>
  <si>
    <t>PPB31405_deglyc_1K1GK_2pQ</t>
  </si>
  <si>
    <t>PPB31405_deglyc_1GK</t>
  </si>
  <si>
    <t>PPB31405_deglyc_1K_2pQ</t>
  </si>
  <si>
    <t>PPB31405_deglyc_2K_2pQ</t>
  </si>
  <si>
    <t>PPB31405_deglyc_2pQ</t>
  </si>
  <si>
    <t>1244 - 1612</t>
  </si>
  <si>
    <t>39 - 72</t>
  </si>
  <si>
    <t>42 - 76</t>
  </si>
  <si>
    <t>43 - 65</t>
  </si>
  <si>
    <t>1259 - 1612</t>
  </si>
  <si>
    <t>1244 - 1560</t>
  </si>
  <si>
    <t>2x vc-PABC-MMAE_deg2</t>
  </si>
  <si>
    <t>46 - 60</t>
  </si>
  <si>
    <t>1244 - 1580</t>
  </si>
  <si>
    <t>47 - 63</t>
  </si>
  <si>
    <t>1244 - 1598</t>
  </si>
  <si>
    <t>47 - 60</t>
  </si>
  <si>
    <t>1259 - 1538</t>
  </si>
  <si>
    <t>47 - 62</t>
  </si>
  <si>
    <t>1273 - 1612</t>
  </si>
  <si>
    <t>1259 - 1560</t>
  </si>
  <si>
    <t>1293 - 1486</t>
  </si>
  <si>
    <t>51 - 61</t>
  </si>
  <si>
    <t>1259 - 1431</t>
  </si>
  <si>
    <t>1259 - 1486</t>
  </si>
  <si>
    <t>26 - 33</t>
  </si>
  <si>
    <t>1321 - 1513</t>
  </si>
  <si>
    <t>42 - 50</t>
  </si>
  <si>
    <t>1273 - 1486</t>
  </si>
  <si>
    <t>30 - 39</t>
  </si>
  <si>
    <t>1273 - 1458</t>
  </si>
  <si>
    <t>45 - 53</t>
  </si>
  <si>
    <t>38 - 48</t>
  </si>
  <si>
    <t>1244 - 1375</t>
  </si>
  <si>
    <t>1259 - 1513</t>
  </si>
  <si>
    <t>34 - 41</t>
  </si>
  <si>
    <t>1349 - 1513</t>
  </si>
  <si>
    <t>1x vc-PABC-MMAE_deg1,1x vc-PABC-MMAE_deg4</t>
  </si>
  <si>
    <t>49 - 60</t>
  </si>
  <si>
    <t>1376 - 1538</t>
  </si>
  <si>
    <t>33 - 41</t>
  </si>
  <si>
    <t>13 - 25</t>
  </si>
  <si>
    <t>1321 - 1580</t>
  </si>
  <si>
    <t>13 - 20</t>
  </si>
  <si>
    <t>1259 - 1403</t>
  </si>
  <si>
    <t>14 - 24</t>
  </si>
  <si>
    <t>1349 - 1580</t>
  </si>
  <si>
    <t>1176 - 1292</t>
  </si>
  <si>
    <t>41 - 46</t>
  </si>
  <si>
    <t>1187 - 1292</t>
  </si>
  <si>
    <t>1238 - 1624</t>
  </si>
  <si>
    <t>40 - 80</t>
  </si>
  <si>
    <t>44 - 69</t>
  </si>
  <si>
    <t>43 - 68</t>
  </si>
  <si>
    <t>1255 - 1624</t>
  </si>
  <si>
    <t>1270 - 1588</t>
  </si>
  <si>
    <t>43 - 60</t>
  </si>
  <si>
    <t>1270 - 1565</t>
  </si>
  <si>
    <t>44 - 63</t>
  </si>
  <si>
    <t>1255 - 1565</t>
  </si>
  <si>
    <t>42 - 58</t>
  </si>
  <si>
    <t>42 - 65</t>
  </si>
  <si>
    <t>1270 - 1608</t>
  </si>
  <si>
    <t>49 - 59</t>
  </si>
  <si>
    <t>1270 - 1454</t>
  </si>
  <si>
    <t>1270 - 1511</t>
  </si>
  <si>
    <t>48 - 56</t>
  </si>
  <si>
    <t>1310 - 1483</t>
  </si>
  <si>
    <t>1x vc-PABC-MMAE,1x vc-PABC-MMAE_hyd</t>
  </si>
  <si>
    <t>42 - 59</t>
  </si>
  <si>
    <t>1310 - 1540</t>
  </si>
  <si>
    <t>55 - 69</t>
  </si>
  <si>
    <t>36 - 49</t>
  </si>
  <si>
    <t>31 - 46</t>
  </si>
  <si>
    <t>1255 - 1588</t>
  </si>
  <si>
    <t>34 - 42</t>
  </si>
  <si>
    <t>1270 - 1425</t>
  </si>
  <si>
    <t>39 - 48</t>
  </si>
  <si>
    <t>1255 - 1608</t>
  </si>
  <si>
    <t>36 - 46</t>
  </si>
  <si>
    <t>1339 - 1511</t>
  </si>
  <si>
    <t>10 - 16</t>
  </si>
  <si>
    <t>1255 - 1454</t>
  </si>
  <si>
    <t>34 - 45</t>
  </si>
  <si>
    <t>1286 - 1454</t>
  </si>
  <si>
    <t>1310 - 1511</t>
  </si>
  <si>
    <t>34 - 46</t>
  </si>
  <si>
    <t>1238 - 1608</t>
  </si>
  <si>
    <t>31 - 47</t>
  </si>
  <si>
    <t>17 - 32</t>
  </si>
  <si>
    <t>1x vc-PABC-MMAE_deg4,1x vc-PABC-MMAE_1hydr</t>
  </si>
  <si>
    <t>40 - 73</t>
  </si>
  <si>
    <t>1234 - 1613</t>
  </si>
  <si>
    <t>40 - 95</t>
  </si>
  <si>
    <t>45 - 68</t>
  </si>
  <si>
    <t>45 - 67</t>
  </si>
  <si>
    <t>43 - 64</t>
  </si>
  <si>
    <t>43 - 62</t>
  </si>
  <si>
    <t>1251 - 1613</t>
  </si>
  <si>
    <t>42 - 61</t>
  </si>
  <si>
    <t>1251 - 1577</t>
  </si>
  <si>
    <t>1x vc-PABC-MMAE_deg5,1x vc-PABC-MMAE_hyd</t>
  </si>
  <si>
    <t>44 - 57</t>
  </si>
  <si>
    <t>1267 - 1554</t>
  </si>
  <si>
    <t>23 - 50</t>
  </si>
  <si>
    <t>1234 - 1597</t>
  </si>
  <si>
    <t>47 - 56</t>
  </si>
  <si>
    <t>1251 - 1465</t>
  </si>
  <si>
    <t>2x vc-PABC-MMAE_hyd</t>
  </si>
  <si>
    <t>48 - 57</t>
  </si>
  <si>
    <t>1285 - 1525</t>
  </si>
  <si>
    <t>1x vc-PABC-MMAE_deg1</t>
  </si>
  <si>
    <t>47 - 57</t>
  </si>
  <si>
    <t>1285 - 1465</t>
  </si>
  <si>
    <t>36 - 54</t>
  </si>
  <si>
    <t>49 - 65</t>
  </si>
  <si>
    <t>25 - 47</t>
  </si>
  <si>
    <t>1251 - 1435</t>
  </si>
  <si>
    <t>24 - 31</t>
  </si>
  <si>
    <t>1285 - 1496</t>
  </si>
  <si>
    <t>29 - 35</t>
  </si>
  <si>
    <t>1267 - 1435</t>
  </si>
  <si>
    <t>17 - 28</t>
  </si>
  <si>
    <t>38 - 46</t>
  </si>
  <si>
    <t>1234 - 1374</t>
  </si>
  <si>
    <t>15 - 20</t>
  </si>
  <si>
    <t>1285 - 1597</t>
  </si>
  <si>
    <t>1406 - 1613</t>
  </si>
  <si>
    <t>41 - 47</t>
  </si>
  <si>
    <t>1345 - 1525</t>
  </si>
  <si>
    <t>41 - 70</t>
  </si>
  <si>
    <t>1226 - 1612</t>
  </si>
  <si>
    <t>42 - 68</t>
  </si>
  <si>
    <t>1243 - 1595</t>
  </si>
  <si>
    <t>1x vc-PABC-MMAE_deg4_1hydr,1x vc-PABC-MMAE_deg4</t>
  </si>
  <si>
    <t>45 - 64</t>
  </si>
  <si>
    <t>1243 - 1612</t>
  </si>
  <si>
    <t>46 - 62</t>
  </si>
  <si>
    <t>46 - 67</t>
  </si>
  <si>
    <t>44 - 70</t>
  </si>
  <si>
    <t>1243 - 1552</t>
  </si>
  <si>
    <t>46 - 65</t>
  </si>
  <si>
    <t>1258 - 1412</t>
  </si>
  <si>
    <t>1258 - 1576</t>
  </si>
  <si>
    <t>45 - 58</t>
  </si>
  <si>
    <t>1298 - 1527</t>
  </si>
  <si>
    <t>28 - 50</t>
  </si>
  <si>
    <t>1258 - 1470</t>
  </si>
  <si>
    <t>1273 - 1552</t>
  </si>
  <si>
    <t>32 - 46</t>
  </si>
  <si>
    <t>1243 - 1441</t>
  </si>
  <si>
    <t>35 - 49</t>
  </si>
  <si>
    <t>1258 - 1527</t>
  </si>
  <si>
    <t>37 - 46</t>
  </si>
  <si>
    <t>25 - 48</t>
  </si>
  <si>
    <t>1226 - 1576</t>
  </si>
  <si>
    <t>18 - 32</t>
  </si>
  <si>
    <t>1326 - 1499</t>
  </si>
  <si>
    <t>17 - 25</t>
  </si>
  <si>
    <t>39 - 45</t>
  </si>
  <si>
    <t>1273 - 1441</t>
  </si>
  <si>
    <t>39 - 47</t>
  </si>
  <si>
    <t>1226 - 1383</t>
  </si>
  <si>
    <t>12 - 19</t>
  </si>
  <si>
    <t>1258 - 1595</t>
  </si>
  <si>
    <t>1186 - 1297</t>
  </si>
  <si>
    <t>1x vc-PABC-MMAE_deg4_1hydr,1x vc-PABC-MMAE_1hydr</t>
  </si>
  <si>
    <t>1289 - 1615</t>
  </si>
  <si>
    <t>Trastuzumab ADC_2K_loss_deglyc_1ox</t>
  </si>
  <si>
    <t>43 - 66</t>
  </si>
  <si>
    <t>1299 - 1483</t>
  </si>
  <si>
    <t>46 - 64</t>
  </si>
  <si>
    <t>1378 - 1658</t>
  </si>
  <si>
    <t>44 - 60</t>
  </si>
  <si>
    <t>1299 - 1587</t>
  </si>
  <si>
    <t>1343 - 1447</t>
  </si>
  <si>
    <t>1431 - 1639</t>
  </si>
  <si>
    <t>10 - 18</t>
  </si>
  <si>
    <t>1279 - 1447</t>
  </si>
  <si>
    <t>1299 - 1639</t>
  </si>
  <si>
    <t>1279 - 1360</t>
  </si>
  <si>
    <t>1299 - 1615</t>
  </si>
  <si>
    <t>50 - 59</t>
  </si>
  <si>
    <t>50 - 61</t>
  </si>
  <si>
    <t>1395 - 1658</t>
  </si>
  <si>
    <t>22 - 34</t>
  </si>
  <si>
    <t>1279 - 1377</t>
  </si>
  <si>
    <t>23 - 43</t>
  </si>
  <si>
    <t>1395 - 1537</t>
  </si>
  <si>
    <t>51 - 62</t>
  </si>
  <si>
    <t>1289 - 1537</t>
  </si>
  <si>
    <t>32 - 45</t>
  </si>
  <si>
    <t>1378 - 1555</t>
  </si>
  <si>
    <t>63 - 70</t>
  </si>
  <si>
    <t>1325 - 1430</t>
  </si>
  <si>
    <t>1208 - 1342</t>
  </si>
  <si>
    <t>1238 - 1324</t>
  </si>
  <si>
    <t>1208 - 1324</t>
  </si>
  <si>
    <t>#</t>
  </si>
  <si>
    <t>Glycan name</t>
  </si>
  <si>
    <t>Formula</t>
  </si>
  <si>
    <t>Average mass</t>
  </si>
  <si>
    <t>Monoisotopic mass</t>
  </si>
  <si>
    <t>Modification type</t>
  </si>
  <si>
    <t>Table 120 N-Linked glycans in the Define Modification List window</t>
  </si>
  <si>
    <t>Gn</t>
  </si>
  <si>
    <t>C8H13N1O5</t>
  </si>
  <si>
    <t>Side</t>
  </si>
  <si>
    <t>GnF</t>
  </si>
  <si>
    <t>C14H23N1O9</t>
  </si>
  <si>
    <t>M3</t>
  </si>
  <si>
    <t>C34H56N2O25</t>
  </si>
  <si>
    <t>Lys res</t>
  </si>
  <si>
    <t>M4</t>
  </si>
  <si>
    <t>C40H66N2O30</t>
  </si>
  <si>
    <t>Lys res*2</t>
  </si>
  <si>
    <t>A1G0</t>
  </si>
  <si>
    <t>C42H69N3O30</t>
  </si>
  <si>
    <t>GK</t>
  </si>
  <si>
    <t>M5</t>
  </si>
  <si>
    <t>C46H76N2O35</t>
  </si>
  <si>
    <t>GK*2</t>
  </si>
  <si>
    <t>A1G0F</t>
  </si>
  <si>
    <t>C48H79N3O34</t>
  </si>
  <si>
    <t>A1G0M4</t>
  </si>
  <si>
    <t>C48H79N3O35</t>
  </si>
  <si>
    <t>A1G1</t>
  </si>
  <si>
    <t xml:space="preserve">mono </t>
  </si>
  <si>
    <t>average</t>
  </si>
  <si>
    <t>A2G0</t>
  </si>
  <si>
    <t>C50H82N4O35</t>
  </si>
  <si>
    <t>Sialic Acid</t>
  </si>
  <si>
    <t>C11O8NH17</t>
  </si>
  <si>
    <t>M6</t>
  </si>
  <si>
    <t>C52H86N2O40</t>
  </si>
  <si>
    <t>A1G0M4F</t>
  </si>
  <si>
    <t>C54H89N3O39</t>
  </si>
  <si>
    <t>Galactose</t>
  </si>
  <si>
    <t>C6O5H10</t>
  </si>
  <si>
    <t>A1G1F</t>
  </si>
  <si>
    <t>A1G0M5</t>
  </si>
  <si>
    <t>C54H89N3O40</t>
  </si>
  <si>
    <t>N-Acetylglucosamine</t>
  </si>
  <si>
    <t>C8O5NH13</t>
  </si>
  <si>
    <t>A1G1M4</t>
  </si>
  <si>
    <t>A2G0F</t>
  </si>
  <si>
    <t>C56H92N4O39</t>
  </si>
  <si>
    <t>Mannose</t>
  </si>
  <si>
    <t>A2G0M4</t>
  </si>
  <si>
    <t>C56H92N4O40</t>
  </si>
  <si>
    <t>A2G1</t>
  </si>
  <si>
    <t>C6O4H10</t>
  </si>
  <si>
    <t>A2G0B</t>
  </si>
  <si>
    <t>C58H95N5O40</t>
  </si>
  <si>
    <t>A3G0</t>
  </si>
  <si>
    <t>M7</t>
  </si>
  <si>
    <t>C58H96N2O45</t>
  </si>
  <si>
    <t>A1S1</t>
  </si>
  <si>
    <t>C59H96N4O43</t>
  </si>
  <si>
    <t>A1Sg1</t>
  </si>
  <si>
    <t>C59H96N4O44</t>
  </si>
  <si>
    <t>A1G0M5F</t>
  </si>
  <si>
    <t>C60H99N3O44</t>
  </si>
  <si>
    <t>A1G1M4F</t>
  </si>
  <si>
    <t>A1G1M5</t>
  </si>
  <si>
    <t>C60H99N3O45</t>
  </si>
  <si>
    <t>A2G1F</t>
  </si>
  <si>
    <t>C62H102N4O44</t>
  </si>
  <si>
    <t>A2G0M5</t>
  </si>
  <si>
    <t>C62H102N4O45</t>
  </si>
  <si>
    <t>A2G2F</t>
  </si>
  <si>
    <t>A2G1M4</t>
  </si>
  <si>
    <t>A2G2</t>
  </si>
  <si>
    <t>A2G0FB</t>
  </si>
  <si>
    <t>C64H105N5O44</t>
  </si>
  <si>
    <t>A3G0F</t>
  </si>
  <si>
    <t>A2G1B</t>
  </si>
  <si>
    <t>C64H105N5O45</t>
  </si>
  <si>
    <t>A3G1</t>
  </si>
  <si>
    <t>A1S1F</t>
  </si>
  <si>
    <t>C65H106N4O47</t>
  </si>
  <si>
    <t>M8</t>
  </si>
  <si>
    <t>C64H106N2O50</t>
  </si>
  <si>
    <t>A4G0</t>
  </si>
  <si>
    <t>C66H108N6O45</t>
  </si>
  <si>
    <t>A1S1M4</t>
  </si>
  <si>
    <t>C65H106N4O48</t>
  </si>
  <si>
    <t>A1Sg1F</t>
  </si>
  <si>
    <t>A1G1M5F</t>
  </si>
  <si>
    <t>C66H109N3O49</t>
  </si>
  <si>
    <t>A2S1G0</t>
  </si>
  <si>
    <t>C67H109N5O48</t>
  </si>
  <si>
    <t>A2Sg1G0</t>
  </si>
  <si>
    <t>C67H109N5O49</t>
  </si>
  <si>
    <t>A2G0M5F</t>
  </si>
  <si>
    <t>C68H112N4O49</t>
  </si>
  <si>
    <t>A2G1M4F</t>
  </si>
  <si>
    <t>A2G1M5</t>
  </si>
  <si>
    <t>C68H112N4O50</t>
  </si>
  <si>
    <t>A2G2M4</t>
  </si>
  <si>
    <t>A2G1FB</t>
  </si>
  <si>
    <t>C70H115N5O49</t>
  </si>
  <si>
    <t>A3G1F</t>
  </si>
  <si>
    <t>A2G2B</t>
  </si>
  <si>
    <t>C70H115N5O50</t>
  </si>
  <si>
    <t>A3G2</t>
  </si>
  <si>
    <t>A4G0F</t>
  </si>
  <si>
    <t>C72H118N6O49</t>
  </si>
  <si>
    <t>A1S1M4F</t>
  </si>
  <si>
    <t>C71H116N4O52</t>
  </si>
  <si>
    <t>M9</t>
  </si>
  <si>
    <t>C70H116N2O55</t>
  </si>
  <si>
    <t>A4G1</t>
  </si>
  <si>
    <t>C72H118N6O50</t>
  </si>
  <si>
    <t>A1S1M5</t>
  </si>
  <si>
    <t>C71H116N4O53</t>
  </si>
  <si>
    <t>A2S1G0F</t>
  </si>
  <si>
    <t>C73H119N5O52</t>
  </si>
  <si>
    <t>A2S1G0M4</t>
  </si>
  <si>
    <t>C73H119N5O53</t>
  </si>
  <si>
    <t>A2S1G1</t>
  </si>
  <si>
    <t>A2Sg1G0F</t>
  </si>
  <si>
    <t>A2Sg1G1</t>
  </si>
  <si>
    <t>C73H119N5O54</t>
  </si>
  <si>
    <t>A2G1M5F</t>
  </si>
  <si>
    <t>C74H122N4O54</t>
  </si>
  <si>
    <t>A2G2M4F</t>
  </si>
  <si>
    <t>A2G2M5</t>
  </si>
  <si>
    <t>C74H122N4O55</t>
  </si>
  <si>
    <t>A2S1G0B</t>
  </si>
  <si>
    <t>C75H122N6O53</t>
  </si>
  <si>
    <t>A3S1G0</t>
  </si>
  <si>
    <t>A3Sg1G0</t>
  </si>
  <si>
    <t>C75H122N6O54</t>
  </si>
  <si>
    <t>A2G2FB</t>
  </si>
  <si>
    <t>C76H125N5O54</t>
  </si>
  <si>
    <t>A3G2F</t>
  </si>
  <si>
    <t>A3G3</t>
  </si>
  <si>
    <t>C76H125N5O55</t>
  </si>
  <si>
    <t>A4G1F</t>
  </si>
  <si>
    <t>C78H128N6O54</t>
  </si>
  <si>
    <t>A1S1M5F</t>
  </si>
  <si>
    <t>C77H126N4O57</t>
  </si>
  <si>
    <t>A4G2</t>
  </si>
  <si>
    <t>C78H128N6O55</t>
  </si>
  <si>
    <t>A2S1G0M4F</t>
  </si>
  <si>
    <t>C79H129N5O57</t>
  </si>
  <si>
    <t>A2S1G1F</t>
  </si>
  <si>
    <t>A2S1G0M5</t>
  </si>
  <si>
    <t>C79H129N5O58</t>
  </si>
  <si>
    <t>A2S1G1M4</t>
  </si>
  <si>
    <t>A2Sg1G1F</t>
  </si>
  <si>
    <t>A2G2M5F</t>
  </si>
  <si>
    <t>C80H132N4O59</t>
  </si>
  <si>
    <t>A2S1G0FB</t>
  </si>
  <si>
    <t>C81H132N6O57</t>
  </si>
  <si>
    <t>A3S1G0F</t>
  </si>
  <si>
    <t>A2S1G1B</t>
  </si>
  <si>
    <t>C81H132N6O58</t>
  </si>
  <si>
    <t>A3S1G1</t>
  </si>
  <si>
    <t>A3Sg1G0F</t>
  </si>
  <si>
    <t>A3Sg1G1</t>
  </si>
  <si>
    <t>C81H132N6O59</t>
  </si>
  <si>
    <t>A3G3F</t>
  </si>
  <si>
    <t>C82H135N5O59</t>
  </si>
  <si>
    <t>A4S1G0</t>
  </si>
  <si>
    <t>C83H135N7O58</t>
  </si>
  <si>
    <t>A4Sg1G0</t>
  </si>
  <si>
    <t>C83H135N7O59</t>
  </si>
  <si>
    <t>A4G2F</t>
  </si>
  <si>
    <t>C84H138N6O59</t>
  </si>
  <si>
    <t>A4G3</t>
  </si>
  <si>
    <t>C84H138N6O60</t>
  </si>
  <si>
    <t>A2S2</t>
  </si>
  <si>
    <t>C84H136N6O61</t>
  </si>
  <si>
    <t>A2Sg1S1</t>
  </si>
  <si>
    <t>C84H136N6O62</t>
  </si>
  <si>
    <t>A2S1G0M5F</t>
  </si>
  <si>
    <t>C85H139N5O62</t>
  </si>
  <si>
    <t>A2S1G1M4F</t>
  </si>
  <si>
    <t>A2Sg2</t>
  </si>
  <si>
    <t>C84H136N6O63</t>
  </si>
  <si>
    <t>A2S1G1M5</t>
  </si>
  <si>
    <t>C85H139N5O63</t>
  </si>
  <si>
    <t>A2S1G1FB</t>
  </si>
  <si>
    <t>C87H142N6O62</t>
  </si>
  <si>
    <t>A3S1G1F</t>
  </si>
  <si>
    <t>A3S1G2</t>
  </si>
  <si>
    <t>C87H142N6O63</t>
  </si>
  <si>
    <t>A3Sg1G1F</t>
  </si>
  <si>
    <t>A3Sg1G2</t>
  </si>
  <si>
    <t>C87H142N6O64</t>
  </si>
  <si>
    <t>A4S1G0F</t>
  </si>
  <si>
    <t>C89H145N7O62</t>
  </si>
  <si>
    <t>A4S1G1</t>
  </si>
  <si>
    <t>C89H145N7O63</t>
  </si>
  <si>
    <t>A4Sg1G0F</t>
  </si>
  <si>
    <t>A4Sg1G1</t>
  </si>
  <si>
    <t>C89H145N7O64</t>
  </si>
  <si>
    <t>A4G3F</t>
  </si>
  <si>
    <t>C90H148N6O64</t>
  </si>
  <si>
    <t>A2S2F</t>
  </si>
  <si>
    <t>C90H146N6O65</t>
  </si>
  <si>
    <t>A4G4</t>
  </si>
  <si>
    <t>C90H148N6O65</t>
  </si>
  <si>
    <t>A2S2M4</t>
  </si>
  <si>
    <t>C90H146N6O66</t>
  </si>
  <si>
    <t>A2Sg1S1F</t>
  </si>
  <si>
    <t>A2Sg2F</t>
  </si>
  <si>
    <t>C90H146N6O67</t>
  </si>
  <si>
    <t>A2S1G1M5F</t>
  </si>
  <si>
    <t>C91H149N5O67</t>
  </si>
  <si>
    <t>A2S2B</t>
  </si>
  <si>
    <t>C92H149N7O66</t>
  </si>
  <si>
    <t>A3S2G0</t>
  </si>
  <si>
    <t>A3Sg1S1G0</t>
  </si>
  <si>
    <t>C92H149N7O67</t>
  </si>
  <si>
    <t>A3S1G2F</t>
  </si>
  <si>
    <t>C93H152N6O67</t>
  </si>
  <si>
    <t>A3Sg2G0</t>
  </si>
  <si>
    <t>C92H149N7O68</t>
  </si>
  <si>
    <t>A3Sg1G2F</t>
  </si>
  <si>
    <t>C93H152N6O68</t>
  </si>
  <si>
    <t>A4S1G1F</t>
  </si>
  <si>
    <t>C95H155N7O67</t>
  </si>
  <si>
    <t>A4S1G2</t>
  </si>
  <si>
    <t>C95H155N7O68</t>
  </si>
  <si>
    <t>A4Sg1G1F</t>
  </si>
  <si>
    <t>A4Sg1G2</t>
  </si>
  <si>
    <t>C95H155N7O69</t>
  </si>
  <si>
    <t>A4G4F</t>
  </si>
  <si>
    <t>C96H158N6O69</t>
  </si>
  <si>
    <t>A2S2M4F</t>
  </si>
  <si>
    <t>C96H156N6O70</t>
  </si>
  <si>
    <t>A2S2M5</t>
  </si>
  <si>
    <t>C96H156N6O71</t>
  </si>
  <si>
    <t>A2S2FB</t>
  </si>
  <si>
    <t>C98H159N7O70</t>
  </si>
  <si>
    <t>A3S2G0F</t>
  </si>
  <si>
    <t>A3S2G1</t>
  </si>
  <si>
    <t>C98H159N7O71</t>
  </si>
  <si>
    <t>A3Sg1S1G0F</t>
  </si>
  <si>
    <t>A3Sg1S1G1</t>
  </si>
  <si>
    <t>C98H159N7O72</t>
  </si>
  <si>
    <t>A3Sg2G0F</t>
  </si>
  <si>
    <t>A3Sg2G1</t>
  </si>
  <si>
    <t>C98H159N7O73</t>
  </si>
  <si>
    <t>A4S2G0</t>
  </si>
  <si>
    <t>C100H162N8O71</t>
  </si>
  <si>
    <t>A4Sg1S1G0</t>
  </si>
  <si>
    <t>C100H162N8O72</t>
  </si>
  <si>
    <t>A4S1G2F</t>
  </si>
  <si>
    <t>C101H165N7O72</t>
  </si>
  <si>
    <t>A4Sg2G0</t>
  </si>
  <si>
    <t>C100H162N8O73</t>
  </si>
  <si>
    <t>A4S1G3</t>
  </si>
  <si>
    <t>C101H165N7O73</t>
  </si>
  <si>
    <t>A4Sg1G2F</t>
  </si>
  <si>
    <t>A4Sg1G3</t>
  </si>
  <si>
    <t>C101H165N7O74</t>
  </si>
  <si>
    <t>A2S2M5F</t>
  </si>
  <si>
    <t>C102H166N6O75</t>
  </si>
  <si>
    <t>A3S2G1F</t>
  </si>
  <si>
    <t>C104H169N7O75</t>
  </si>
  <si>
    <t>A3Sg1S1G1F</t>
  </si>
  <si>
    <t>C104H169N7O76</t>
  </si>
  <si>
    <t>G0_G0F</t>
  </si>
  <si>
    <t>C106H174N8O74S0</t>
  </si>
  <si>
    <t>A3Sg2G1F</t>
  </si>
  <si>
    <t>C104H169N7O77</t>
  </si>
  <si>
    <t>A4S2G0F</t>
  </si>
  <si>
    <t>C106H172N8O75</t>
  </si>
  <si>
    <t>A4S2G1</t>
  </si>
  <si>
    <t>C106H172N8O76</t>
  </si>
  <si>
    <t>A4Sg1S1G0F</t>
  </si>
  <si>
    <t>A4Sg1S1G1</t>
  </si>
  <si>
    <t>C106H172N8O77</t>
  </si>
  <si>
    <t>A4Sg2G0F</t>
  </si>
  <si>
    <t>A4S1G3F</t>
  </si>
  <si>
    <t>C107H175N7O77</t>
  </si>
  <si>
    <t>A4Sg2G1</t>
  </si>
  <si>
    <t>C106H172N8O78</t>
  </si>
  <si>
    <t>A4Sg1G3F</t>
  </si>
  <si>
    <t>C107H175N7O78</t>
  </si>
  <si>
    <t>A3S3</t>
  </si>
  <si>
    <t>C109H176N8O79</t>
  </si>
  <si>
    <t>A3Sg1S2</t>
  </si>
  <si>
    <t>C109H176N8O80</t>
  </si>
  <si>
    <t>G0F_G0F</t>
  </si>
  <si>
    <t>C112H184N8O78S0</t>
  </si>
  <si>
    <t>A3Sg2S1</t>
  </si>
  <si>
    <t>C109H176N8O81</t>
  </si>
  <si>
    <t>A3Sg3</t>
  </si>
  <si>
    <t>C109H176N8O82</t>
  </si>
  <si>
    <t>A4S2G1F</t>
  </si>
  <si>
    <t>C112H182N8O80</t>
  </si>
  <si>
    <t>A4S2G2</t>
  </si>
  <si>
    <t>C112H182N8O81</t>
  </si>
  <si>
    <t>A4Sg1S1G1F</t>
  </si>
  <si>
    <t>A4Sg1S1G2</t>
  </si>
  <si>
    <t>C112H182N8O82</t>
  </si>
  <si>
    <t>A4Sg2G1F</t>
  </si>
  <si>
    <t>A4Sg2G2</t>
  </si>
  <si>
    <t>C112H182N8O83</t>
  </si>
  <si>
    <t>A3S3F</t>
  </si>
  <si>
    <t>C115H186N8O83</t>
  </si>
  <si>
    <t>A3Sg1S2F</t>
  </si>
  <si>
    <t>C115H186N8O84</t>
  </si>
  <si>
    <t>A3Sg2S1F</t>
  </si>
  <si>
    <t>C115H186N8O85</t>
  </si>
  <si>
    <t>G0F_G1F</t>
  </si>
  <si>
    <t>C118H194N8O83S0</t>
  </si>
  <si>
    <t>A3Sg3F</t>
  </si>
  <si>
    <t>C115H186N8O86</t>
  </si>
  <si>
    <t>A4S3G0</t>
  </si>
  <si>
    <t>C117H189N9O84</t>
  </si>
  <si>
    <t>A4Sg1S2G0</t>
  </si>
  <si>
    <t>C117H189N9O85</t>
  </si>
  <si>
    <t>A4S2G2F</t>
  </si>
  <si>
    <t>C118H192N8O85</t>
  </si>
  <si>
    <t>A4Sg2S1G0</t>
  </si>
  <si>
    <t>C117H189N9O86</t>
  </si>
  <si>
    <t>A4Sg1S1G2F</t>
  </si>
  <si>
    <t>C118H192N8O86</t>
  </si>
  <si>
    <t>A4Sg3G0</t>
  </si>
  <si>
    <t>C117H189N9O87</t>
  </si>
  <si>
    <t>A4Sg2G2F</t>
  </si>
  <si>
    <t>C118H192N8O87</t>
  </si>
  <si>
    <t>A4S3G0F</t>
  </si>
  <si>
    <t>C123H199N9O88</t>
  </si>
  <si>
    <t>G1F_G1F</t>
  </si>
  <si>
    <t>C124H204N8O88S0</t>
  </si>
  <si>
    <t>A4S3G1</t>
  </si>
  <si>
    <t>C123H199N9O89</t>
  </si>
  <si>
    <t>A4Sg1S2G0F</t>
  </si>
  <si>
    <t>A4Sg1S2G1</t>
  </si>
  <si>
    <t>C123H199N9O90</t>
  </si>
  <si>
    <t>A4Sg2S1G0F</t>
  </si>
  <si>
    <t>A4Sg2S1G1</t>
  </si>
  <si>
    <t>C123H199N9O91</t>
  </si>
  <si>
    <t>A4Sg3G0F</t>
  </si>
  <si>
    <t>A4Sg3G1</t>
  </si>
  <si>
    <t>C123H199N9O92</t>
  </si>
  <si>
    <t>A4S3G1F</t>
  </si>
  <si>
    <t>C129H209N9O93</t>
  </si>
  <si>
    <t>G1F_G2F</t>
  </si>
  <si>
    <t>C130H214N8O93S0</t>
  </si>
  <si>
    <t>A4Sg1S2G1F</t>
  </si>
  <si>
    <t>C129H209N9O94</t>
  </si>
  <si>
    <t>A4Sg2S1G1F</t>
  </si>
  <si>
    <t>C129H209N9O95</t>
  </si>
  <si>
    <t>A4Sg3G1F</t>
  </si>
  <si>
    <t>C129H209N9O96</t>
  </si>
  <si>
    <t>A4S4</t>
  </si>
  <si>
    <t>C134H216N10O97</t>
  </si>
  <si>
    <t>A4Sg1S3</t>
  </si>
  <si>
    <t>C134H216N10O98</t>
  </si>
  <si>
    <t>G2F_G2F</t>
  </si>
  <si>
    <t>C136H224N8O98S0</t>
  </si>
  <si>
    <t>A4Sg2S2</t>
  </si>
  <si>
    <t>C134H216N10O99</t>
  </si>
  <si>
    <t>A4Sg3S1</t>
  </si>
  <si>
    <t>C134H216N10O100</t>
  </si>
  <si>
    <t>A4Sg4</t>
  </si>
  <si>
    <t>C134H216N10O101</t>
  </si>
  <si>
    <t>A4S4F</t>
  </si>
  <si>
    <t>C140H226N10O101</t>
  </si>
  <si>
    <t>A4Sg1S3F</t>
  </si>
  <si>
    <t>C140H226N10O102</t>
  </si>
  <si>
    <t>A4Sg2S2F</t>
  </si>
  <si>
    <t>C140H226N10O103</t>
  </si>
  <si>
    <t>A4Sg3S1F</t>
  </si>
  <si>
    <t>C140H226N10O104</t>
  </si>
  <si>
    <t>A4Sg4F</t>
  </si>
  <si>
    <t>C140H226N10O105</t>
  </si>
  <si>
    <t>Timepoint (h)</t>
  </si>
  <si>
    <t>Product</t>
  </si>
  <si>
    <t>Species_ID</t>
  </si>
  <si>
    <t>Relative Percentage</t>
  </si>
  <si>
    <t>1</t>
  </si>
  <si>
    <t>2</t>
  </si>
  <si>
    <t>5</t>
  </si>
  <si>
    <t>24</t>
  </si>
  <si>
    <t>48</t>
  </si>
  <si>
    <t>72</t>
  </si>
  <si>
    <t>96</t>
  </si>
  <si>
    <t>168</t>
  </si>
  <si>
    <t>Mean DAR</t>
  </si>
  <si>
    <t>Explained Area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</si>
</sst>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0.00000"/>
    <numFmt numFmtId="167" formatCode="0.000"/>
    <numFmt numFmtId="168" formatCode="#0.####"/>
    <numFmt numFmtId="169" formatCode="#,##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iberation Sans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11" fontId="0" fillId="4" borderId="1" xfId="0" applyNumberFormat="1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1" xfId="0" applyNumberFormat="1" applyBorder="1"/>
    <xf numFmtId="2" fontId="0" fillId="4" borderId="1" xfId="0" applyNumberFormat="1" applyFill="1" applyBorder="1"/>
    <xf numFmtId="2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0" fillId="2" borderId="0" xfId="0" applyFill="1"/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6" fontId="0" fillId="0" borderId="0" xfId="0" applyNumberFormat="1"/>
    <xf numFmtId="164" fontId="0" fillId="0" borderId="0" xfId="0" applyNumberFormat="1"/>
    <xf numFmtId="0" fontId="3" fillId="0" borderId="7" xfId="0" applyFont="1" applyBorder="1" applyAlignment="1">
      <alignment horizontal="center" vertical="top"/>
    </xf>
    <xf numFmtId="0" fontId="0" fillId="0" borderId="0" xfId="0"/>
    <xf numFmtId="0" fontId="0" fillId="0" borderId="0" xfId="0" applyFont="1"/>
    <xf numFmtId="169" fontId="0" fillId="0" borderId="0" xfId="0" applyNumberFormat="1"/>
    <xf numFmtId="4" fontId="0" fillId="0" borderId="0" xfId="0" applyNumberFormat="1" applyFont="1" applyAlignment="1"/>
    <xf numFmtId="4" fontId="0" fillId="0" borderId="0" xfId="0" applyNumberFormat="1" applyFont="1" applyAlignment="1">
      <alignment vertical="center" wrapText="1"/>
    </xf>
    <xf numFmtId="4" fontId="0" fillId="0" borderId="0" xfId="0" applyNumberFormat="1" applyAlignment="1"/>
    <xf numFmtId="0" fontId="0" fillId="0" borderId="0" xfId="0" applyFont="1" applyAlignment="1"/>
    <xf numFmtId="0" fontId="0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right"/>
    </xf>
    <xf numFmtId="165" fontId="0" fillId="0" borderId="0" xfId="0" applyNumberFormat="1" applyFill="1" applyAlignment="1">
      <alignment horizontal="right"/>
    </xf>
    <xf numFmtId="11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67" fontId="0" fillId="0" borderId="0" xfId="0" applyNumberFormat="1" applyFill="1" applyAlignment="1">
      <alignment horizontal="right"/>
    </xf>
    <xf numFmtId="168" fontId="0" fillId="0" borderId="0" xfId="0" applyNumberFormat="1" applyFill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18"/>
  <sheetViews>
    <sheetView workbookViewId="0">
      <selection activeCell="F7" sqref="F7"/>
    </sheetView>
  </sheetViews>
  <sheetFormatPr defaultColWidth="71.5703125" defaultRowHeight="15"/>
  <cols>
    <col min="1" max="1" width="12.140625" style="40" bestFit="1" customWidth="1"/>
    <col min="2" max="2" width="17.28515625" style="40" bestFit="1" customWidth="1"/>
    <col min="3" max="3" width="12.7109375" style="26" bestFit="1" customWidth="1"/>
    <col min="4" max="4" width="17.7109375" style="26" bestFit="1" customWidth="1"/>
    <col min="5" max="5" width="14" style="26" bestFit="1" customWidth="1"/>
    <col min="6" max="6" width="24.85546875" style="26" bestFit="1" customWidth="1"/>
    <col min="7" max="7" width="12.28515625" style="26" bestFit="1" customWidth="1"/>
    <col min="8" max="8" width="19.140625" style="26" bestFit="1" customWidth="1"/>
    <col min="9" max="9" width="135.85546875" style="26" bestFit="1" customWidth="1"/>
    <col min="10" max="10" width="155.28515625" style="26" bestFit="1" customWidth="1"/>
    <col min="11" max="11" width="15.5703125" style="26" bestFit="1" customWidth="1"/>
    <col min="12" max="12" width="16" style="26" customWidth="1"/>
    <col min="13" max="16" width="71.5703125" style="26" customWidth="1"/>
    <col min="17" max="16384" width="71.5703125" style="26"/>
  </cols>
  <sheetData>
    <row r="1" spans="1:12">
      <c r="A1" s="40" t="s">
        <v>754</v>
      </c>
      <c r="B1" s="26" t="s">
        <v>766</v>
      </c>
    </row>
    <row r="2" spans="1:12">
      <c r="A2" s="45">
        <v>1</v>
      </c>
      <c r="B2" s="42">
        <v>1.088781</v>
      </c>
    </row>
    <row r="3" spans="1:12">
      <c r="A3" s="45">
        <v>2</v>
      </c>
      <c r="B3" s="42">
        <v>1.0920179999999999</v>
      </c>
    </row>
    <row r="4" spans="1:12">
      <c r="A4" s="45">
        <v>5</v>
      </c>
      <c r="B4" s="42">
        <v>1.0972420000000001</v>
      </c>
    </row>
    <row r="5" spans="1:12" ht="30" customHeight="1">
      <c r="A5" s="46">
        <v>24</v>
      </c>
      <c r="B5" s="43">
        <v>1.105812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>
      <c r="A6" s="47">
        <v>48</v>
      </c>
      <c r="B6" s="44">
        <v>1.0864560000000001</v>
      </c>
    </row>
    <row r="7" spans="1:12">
      <c r="A7" s="47">
        <v>72</v>
      </c>
      <c r="B7" s="44">
        <v>1.0619719999999999</v>
      </c>
    </row>
    <row r="8" spans="1:12">
      <c r="A8" s="47">
        <v>96</v>
      </c>
      <c r="B8" s="44">
        <v>1.0847629999999999</v>
      </c>
    </row>
    <row r="9" spans="1:12">
      <c r="A9" s="47">
        <v>168</v>
      </c>
      <c r="B9" s="44">
        <v>0.96016000000000001</v>
      </c>
    </row>
    <row r="10" spans="1:12">
      <c r="A10" s="40" t="s">
        <v>754</v>
      </c>
      <c r="B10" s="26" t="s">
        <v>767</v>
      </c>
    </row>
    <row r="11" spans="1:12">
      <c r="A11" s="40">
        <v>1</v>
      </c>
      <c r="B11" s="41">
        <v>100</v>
      </c>
    </row>
    <row r="12" spans="1:12">
      <c r="A12" s="40">
        <v>2</v>
      </c>
      <c r="B12" s="41">
        <v>100</v>
      </c>
    </row>
    <row r="13" spans="1:12">
      <c r="A13" s="40">
        <v>5</v>
      </c>
      <c r="B13" s="41">
        <v>100</v>
      </c>
    </row>
    <row r="14" spans="1:12">
      <c r="A14" s="40">
        <v>24</v>
      </c>
      <c r="B14" s="41">
        <v>100</v>
      </c>
    </row>
    <row r="15" spans="1:12">
      <c r="A15" s="40">
        <v>48</v>
      </c>
      <c r="B15" s="41">
        <v>95.687541999999993</v>
      </c>
    </row>
    <row r="16" spans="1:12">
      <c r="A16" s="40">
        <v>72</v>
      </c>
      <c r="B16" s="41">
        <v>84.662972999999994</v>
      </c>
    </row>
    <row r="17" spans="1:2">
      <c r="A17" s="40">
        <v>96</v>
      </c>
      <c r="B17" s="41">
        <v>88.914742000000004</v>
      </c>
    </row>
    <row r="18" spans="1:2">
      <c r="A18" s="40">
        <v>168</v>
      </c>
      <c r="B18" s="41">
        <v>85.782600000000002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651"/>
  <sheetViews>
    <sheetView zoomScale="80" zoomScaleNormal="80" workbookViewId="0">
      <pane ySplit="1" topLeftCell="A2" activePane="bottomLeft" state="frozen"/>
      <selection pane="bottomLeft" activeCell="A4" sqref="A4:XFD8"/>
    </sheetView>
  </sheetViews>
  <sheetFormatPr defaultColWidth="9.140625" defaultRowHeight="15"/>
  <cols>
    <col min="1" max="1" width="38.85546875" style="26" bestFit="1" customWidth="1"/>
    <col min="2" max="2" width="10.85546875" style="25" bestFit="1" customWidth="1"/>
    <col min="3" max="3" width="38.85546875" style="26" bestFit="1" customWidth="1"/>
    <col min="4" max="4" width="48.85546875" style="26" customWidth="1"/>
    <col min="5" max="5" width="33.5703125" style="26" bestFit="1" customWidth="1"/>
    <col min="6" max="6" width="29.5703125" style="26" bestFit="1" customWidth="1"/>
    <col min="7" max="7" width="29.1406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customHeight="1">
      <c r="A2" t="str">
        <f t="shared" ref="A2:A31" si="0">C2</f>
        <v>Trastuzumab ADC_2K_loss_deglyc</v>
      </c>
      <c r="B2" s="25">
        <v>1</v>
      </c>
      <c r="C2" t="s">
        <v>19</v>
      </c>
      <c r="D2" t="s">
        <v>20</v>
      </c>
      <c r="E2" s="20">
        <v>147199.542812945</v>
      </c>
      <c r="F2" s="20">
        <v>147199.42604399999</v>
      </c>
      <c r="G2" s="29">
        <v>0.79326975425745905</v>
      </c>
      <c r="H2" s="21">
        <v>1811353777</v>
      </c>
      <c r="I2" s="20">
        <v>100</v>
      </c>
      <c r="J2" s="20">
        <v>43.906559789362802</v>
      </c>
      <c r="K2" s="20">
        <v>145.39236488380899</v>
      </c>
      <c r="L2" s="22">
        <v>42</v>
      </c>
      <c r="M2" s="22" t="s">
        <v>21</v>
      </c>
      <c r="N2" s="22">
        <v>15</v>
      </c>
      <c r="O2" s="20">
        <v>0</v>
      </c>
      <c r="P2" s="22" t="s">
        <v>22</v>
      </c>
      <c r="Q2" s="30">
        <v>14.3610783757333</v>
      </c>
      <c r="R2" s="30">
        <v>16.911954300000001</v>
      </c>
      <c r="S2" s="31">
        <v>15.21</v>
      </c>
    </row>
    <row r="3" spans="1:19" ht="15.75" customHeight="1">
      <c r="A3" t="str">
        <f t="shared" si="0"/>
        <v>Trastuzumab ADC_2K_loss_deglyc</v>
      </c>
      <c r="B3" s="25">
        <v>2</v>
      </c>
      <c r="C3" t="s">
        <v>19</v>
      </c>
      <c r="D3" t="s">
        <v>23</v>
      </c>
      <c r="E3" s="20">
        <v>147961.08758199101</v>
      </c>
      <c r="F3" s="20">
        <v>147961.428044</v>
      </c>
      <c r="G3" s="29">
        <v>2.3010239670976</v>
      </c>
      <c r="H3" s="21">
        <v>535687060.25</v>
      </c>
      <c r="I3" s="20">
        <v>29.57384955293</v>
      </c>
      <c r="J3" s="20">
        <v>12.9848599359734</v>
      </c>
      <c r="K3" s="20">
        <v>122.69938023456</v>
      </c>
      <c r="L3" s="22">
        <v>38</v>
      </c>
      <c r="M3" s="22" t="s">
        <v>24</v>
      </c>
      <c r="N3" s="22">
        <v>15</v>
      </c>
      <c r="O3" s="20">
        <v>761.54476904613</v>
      </c>
      <c r="P3" s="22" t="s">
        <v>22</v>
      </c>
      <c r="Q3" s="30">
        <v>14.3610783757333</v>
      </c>
      <c r="R3" s="30">
        <v>16.911954300000001</v>
      </c>
      <c r="S3" s="31">
        <v>15.21</v>
      </c>
    </row>
    <row r="4" spans="1:19" s="55" customFormat="1" ht="15.75" customHeight="1">
      <c r="A4" s="55" t="str">
        <f t="shared" si="0"/>
        <v>Trastuzumab ADC_2K_loss_deglyc_A2G0F</v>
      </c>
      <c r="B4" s="56">
        <v>1</v>
      </c>
      <c r="C4" s="55" t="s">
        <v>25</v>
      </c>
      <c r="D4" s="55" t="s">
        <v>20</v>
      </c>
      <c r="E4" s="57">
        <v>148642.82836297201</v>
      </c>
      <c r="F4" s="57">
        <v>148643.746044</v>
      </c>
      <c r="G4" s="58">
        <f>ABS(E4-F4)/F4*1000000</f>
        <v>6.1736941675161976</v>
      </c>
      <c r="H4" s="59">
        <v>417189147.75</v>
      </c>
      <c r="I4" s="57">
        <v>23.031897220409</v>
      </c>
      <c r="J4" s="57">
        <v>10.112513723703399</v>
      </c>
      <c r="K4" s="57">
        <v>94.331735991752197</v>
      </c>
      <c r="L4" s="60">
        <v>31</v>
      </c>
      <c r="M4" s="60" t="s">
        <v>26</v>
      </c>
      <c r="N4" s="60">
        <v>15</v>
      </c>
      <c r="O4" s="57">
        <v>1443.2855500267499</v>
      </c>
      <c r="P4" s="60" t="s">
        <v>22</v>
      </c>
      <c r="Q4" s="61">
        <v>14.3610783757333</v>
      </c>
      <c r="R4" s="61">
        <v>16.911954300000001</v>
      </c>
      <c r="S4" s="62">
        <v>15.21</v>
      </c>
    </row>
    <row r="5" spans="1:19" s="55" customFormat="1" ht="15.75" customHeight="1">
      <c r="A5" s="55" t="str">
        <f t="shared" si="0"/>
        <v>Trastuzumab ADC_2K_loss_deglyc</v>
      </c>
      <c r="B5" s="56">
        <v>0</v>
      </c>
      <c r="C5" s="55" t="s">
        <v>19</v>
      </c>
      <c r="D5" s="55" t="s">
        <v>27</v>
      </c>
      <c r="E5" s="57">
        <v>146438.15105377301</v>
      </c>
      <c r="F5" s="57">
        <v>146437.42404400001</v>
      </c>
      <c r="G5" s="58">
        <v>4.9646199976330996</v>
      </c>
      <c r="H5" s="59">
        <v>394610165.875</v>
      </c>
      <c r="I5" s="57">
        <v>21.785372051941501</v>
      </c>
      <c r="J5" s="57">
        <v>9.5652074053208391</v>
      </c>
      <c r="K5" s="57">
        <v>101.72812945075501</v>
      </c>
      <c r="L5" s="60">
        <v>35</v>
      </c>
      <c r="M5" s="60" t="s">
        <v>28</v>
      </c>
      <c r="N5" s="60">
        <v>15</v>
      </c>
      <c r="O5" s="57">
        <v>-761.39175917199498</v>
      </c>
      <c r="P5" s="60" t="s">
        <v>22</v>
      </c>
      <c r="Q5" s="61">
        <v>14.3610783757333</v>
      </c>
      <c r="R5" s="61">
        <v>16.911954300000001</v>
      </c>
      <c r="S5" s="62">
        <v>15.21</v>
      </c>
    </row>
    <row r="6" spans="1:19" s="55" customFormat="1" ht="15.75" customHeight="1">
      <c r="A6" s="55" t="str">
        <f t="shared" si="0"/>
        <v>Trastuzumab ADC_2K_loss_deglyc_A2G1F</v>
      </c>
      <c r="B6" s="56">
        <v>1</v>
      </c>
      <c r="C6" s="55" t="s">
        <v>29</v>
      </c>
      <c r="D6" s="55" t="s">
        <v>20</v>
      </c>
      <c r="E6" s="57">
        <v>148805.30046672301</v>
      </c>
      <c r="F6" s="57">
        <v>148806.92054399999</v>
      </c>
      <c r="G6" s="58">
        <f>ABS(E6-F6)/F6*1000000</f>
        <v>10.887109759802499</v>
      </c>
      <c r="H6" s="59">
        <v>316522206.5</v>
      </c>
      <c r="I6" s="57">
        <v>17.4743446414891</v>
      </c>
      <c r="J6" s="57">
        <v>7.67238357781474</v>
      </c>
      <c r="K6" s="57">
        <v>92.451899905918907</v>
      </c>
      <c r="L6" s="60">
        <v>29</v>
      </c>
      <c r="M6" s="60" t="s">
        <v>30</v>
      </c>
      <c r="N6" s="60">
        <v>15</v>
      </c>
      <c r="O6" s="57">
        <v>1605.7576537774601</v>
      </c>
      <c r="P6" s="60" t="s">
        <v>22</v>
      </c>
      <c r="Q6" s="61">
        <v>14.3610783757333</v>
      </c>
      <c r="R6" s="61">
        <v>16.911954300000001</v>
      </c>
      <c r="S6" s="62">
        <v>15.21</v>
      </c>
    </row>
    <row r="7" spans="1:19" s="55" customFormat="1" ht="15.75" customHeight="1">
      <c r="A7" s="55" t="str">
        <f t="shared" si="0"/>
        <v>Trastuzumab ADC_2K_loss_deglyc_A2G0F</v>
      </c>
      <c r="B7" s="56">
        <v>2</v>
      </c>
      <c r="C7" s="55" t="s">
        <v>25</v>
      </c>
      <c r="D7" s="55" t="s">
        <v>23</v>
      </c>
      <c r="E7" s="57">
        <v>149404.02926009599</v>
      </c>
      <c r="F7" s="57">
        <v>149405.77804400001</v>
      </c>
      <c r="G7" s="58">
        <f>ABS(E7-F7)/F7*1000000</f>
        <v>11.704928195590563</v>
      </c>
      <c r="H7" s="59">
        <v>92486664.28125</v>
      </c>
      <c r="I7" s="57">
        <v>5.1059413241987697</v>
      </c>
      <c r="J7" s="57">
        <v>2.2418431803191199</v>
      </c>
      <c r="K7" s="57">
        <v>45.124756573463998</v>
      </c>
      <c r="L7" s="60">
        <v>23</v>
      </c>
      <c r="M7" s="60" t="s">
        <v>31</v>
      </c>
      <c r="N7" s="60">
        <v>13</v>
      </c>
      <c r="O7" s="57">
        <v>2204.4864471507599</v>
      </c>
      <c r="P7" s="60" t="s">
        <v>22</v>
      </c>
      <c r="Q7" s="61">
        <v>14.3610783757333</v>
      </c>
      <c r="R7" s="61">
        <v>16.911954300000001</v>
      </c>
      <c r="S7" s="62">
        <v>15.21</v>
      </c>
    </row>
    <row r="8" spans="1:19" s="55" customFormat="1" ht="15.75" customHeight="1">
      <c r="A8" s="55" t="str">
        <f t="shared" si="0"/>
        <v>Trastuzumab ADC_2K_loss_deglyc_A2G1F</v>
      </c>
      <c r="B8" s="56">
        <v>2</v>
      </c>
      <c r="C8" s="55" t="s">
        <v>29</v>
      </c>
      <c r="D8" s="55" t="s">
        <v>23</v>
      </c>
      <c r="E8" s="57">
        <v>149564.802588597</v>
      </c>
      <c r="F8" s="57">
        <v>149568.922544</v>
      </c>
      <c r="G8" s="58">
        <f>ABS(E8-F8)/F8*1000000</f>
        <v>27.545531069735922</v>
      </c>
      <c r="H8" s="59">
        <v>91299973.875</v>
      </c>
      <c r="I8" s="57">
        <v>5.0404274038414503</v>
      </c>
      <c r="J8" s="57">
        <v>2.2130782717070701</v>
      </c>
      <c r="K8" s="57">
        <v>56.528310497334097</v>
      </c>
      <c r="L8" s="60">
        <v>19</v>
      </c>
      <c r="M8" s="60" t="s">
        <v>32</v>
      </c>
      <c r="N8" s="60">
        <v>12</v>
      </c>
      <c r="O8" s="57">
        <v>2365.2597756518198</v>
      </c>
      <c r="P8" s="60" t="s">
        <v>33</v>
      </c>
      <c r="Q8" s="61">
        <v>14.3610783757333</v>
      </c>
      <c r="R8" s="61">
        <v>16.4919511370667</v>
      </c>
      <c r="S8" s="62">
        <v>15.21</v>
      </c>
    </row>
    <row r="9" spans="1:19" ht="15.75" customHeight="1">
      <c r="A9">
        <f t="shared" si="0"/>
        <v>0</v>
      </c>
      <c r="E9" s="20">
        <v>150249.07475660599</v>
      </c>
      <c r="F9" s="20">
        <v>0</v>
      </c>
      <c r="G9" s="29">
        <v>0</v>
      </c>
      <c r="H9" s="21">
        <v>61251427.125</v>
      </c>
      <c r="I9" s="20">
        <v>3.38152751296415</v>
      </c>
      <c r="J9" s="20">
        <v>1.48471239927336</v>
      </c>
      <c r="K9" s="20">
        <v>42.633188841067103</v>
      </c>
      <c r="L9" s="22">
        <v>16</v>
      </c>
      <c r="M9" s="22" t="s">
        <v>34</v>
      </c>
      <c r="N9" s="22">
        <v>10</v>
      </c>
      <c r="O9" s="20">
        <v>3049.5319436612199</v>
      </c>
      <c r="P9" s="22" t="s">
        <v>35</v>
      </c>
      <c r="Q9" s="30">
        <v>14.4936496224</v>
      </c>
      <c r="R9" s="30">
        <v>16.344783569333298</v>
      </c>
      <c r="S9" s="31">
        <v>15.21</v>
      </c>
    </row>
    <row r="10" spans="1:19" ht="15.75" customHeight="1">
      <c r="A10" t="str">
        <f t="shared" si="0"/>
        <v>Trastuzumab ADC_2K_loss_deglyc</v>
      </c>
      <c r="B10" s="25">
        <v>0</v>
      </c>
      <c r="C10" t="s">
        <v>19</v>
      </c>
      <c r="D10" t="s">
        <v>36</v>
      </c>
      <c r="E10" s="20">
        <v>147088.93170495401</v>
      </c>
      <c r="F10" s="20">
        <v>147084.24704399999</v>
      </c>
      <c r="G10" s="29">
        <v>31.849173825268998</v>
      </c>
      <c r="H10" s="21">
        <v>53758317.4375</v>
      </c>
      <c r="I10" s="20">
        <v>2.9678530029780399</v>
      </c>
      <c r="J10" s="20">
        <v>1.30308215321295</v>
      </c>
      <c r="K10" s="20">
        <v>78.982080918877998</v>
      </c>
      <c r="L10" s="22">
        <v>27</v>
      </c>
      <c r="M10" s="22" t="s">
        <v>37</v>
      </c>
      <c r="N10" s="22">
        <v>12</v>
      </c>
      <c r="O10" s="20">
        <v>-110.611107991484</v>
      </c>
      <c r="P10" s="22" t="s">
        <v>38</v>
      </c>
      <c r="Q10" s="30">
        <v>14.3610783757333</v>
      </c>
      <c r="R10" s="30">
        <v>16.786452958400002</v>
      </c>
      <c r="S10" s="31">
        <v>15.21</v>
      </c>
    </row>
    <row r="11" spans="1:19" ht="15.75" customHeight="1">
      <c r="A11">
        <f t="shared" si="0"/>
        <v>0</v>
      </c>
      <c r="E11" s="20">
        <v>147879.70004046199</v>
      </c>
      <c r="F11" s="20">
        <v>0</v>
      </c>
      <c r="G11" s="29">
        <v>0</v>
      </c>
      <c r="H11" s="21">
        <v>46781231.375</v>
      </c>
      <c r="I11" s="20">
        <v>2.58266669715865</v>
      </c>
      <c r="J11" s="20">
        <v>1.13396009754793</v>
      </c>
      <c r="K11" s="20">
        <v>50.842944100788202</v>
      </c>
      <c r="L11" s="22">
        <v>21</v>
      </c>
      <c r="M11" s="22" t="s">
        <v>39</v>
      </c>
      <c r="N11" s="22">
        <v>9</v>
      </c>
      <c r="O11" s="20">
        <v>680.15722751716396</v>
      </c>
      <c r="P11" s="22" t="s">
        <v>40</v>
      </c>
      <c r="Q11" s="30">
        <v>14.3610783757333</v>
      </c>
      <c r="R11" s="30">
        <v>16.207137662133299</v>
      </c>
      <c r="S11" s="31">
        <v>15.21</v>
      </c>
    </row>
    <row r="12" spans="1:19" ht="15.75" customHeight="1">
      <c r="A12" t="str">
        <f t="shared" si="0"/>
        <v>Trastuzumab ADC_2K_loss_deglyc</v>
      </c>
      <c r="B12" s="25">
        <v>0</v>
      </c>
      <c r="C12" t="s">
        <v>19</v>
      </c>
      <c r="D12" t="s">
        <v>41</v>
      </c>
      <c r="E12" s="20">
        <v>146331.715988927</v>
      </c>
      <c r="F12" s="20">
        <v>146342.360044</v>
      </c>
      <c r="G12" s="29">
        <v>72.739221300870597</v>
      </c>
      <c r="H12" s="21">
        <v>46029251.125</v>
      </c>
      <c r="I12" s="20">
        <v>2.5411519074520101</v>
      </c>
      <c r="J12" s="20">
        <v>1.1157323815839499</v>
      </c>
      <c r="K12" s="20">
        <v>53.257850436686503</v>
      </c>
      <c r="L12" s="22">
        <v>24</v>
      </c>
      <c r="M12" s="22" t="s">
        <v>42</v>
      </c>
      <c r="N12" s="22">
        <v>10</v>
      </c>
      <c r="O12" s="20">
        <v>-867.82682401780005</v>
      </c>
      <c r="P12" s="22" t="s">
        <v>35</v>
      </c>
      <c r="Q12" s="30">
        <v>14.4936496224</v>
      </c>
      <c r="R12" s="30">
        <v>16.344783569333298</v>
      </c>
      <c r="S12" s="31">
        <v>15.21</v>
      </c>
    </row>
    <row r="13" spans="1:19" ht="15.75" customHeight="1">
      <c r="A13">
        <f t="shared" si="0"/>
        <v>0</v>
      </c>
      <c r="E13" s="20">
        <v>148057.812641153</v>
      </c>
      <c r="F13" s="20">
        <v>0</v>
      </c>
      <c r="G13" s="29">
        <v>0</v>
      </c>
      <c r="H13" s="21">
        <v>44707936.96875</v>
      </c>
      <c r="I13" s="20">
        <v>2.4682056667564201</v>
      </c>
      <c r="J13" s="20">
        <v>1.0837041967988501</v>
      </c>
      <c r="K13" s="20">
        <v>51.0367751067486</v>
      </c>
      <c r="L13" s="22">
        <v>18</v>
      </c>
      <c r="M13" s="22" t="s">
        <v>43</v>
      </c>
      <c r="N13" s="22">
        <v>13</v>
      </c>
      <c r="O13" s="20">
        <v>858.26982820805301</v>
      </c>
      <c r="P13" s="22" t="s">
        <v>44</v>
      </c>
      <c r="Q13" s="30">
        <v>14.3610783757333</v>
      </c>
      <c r="R13" s="30">
        <v>16.6318698978667</v>
      </c>
      <c r="S13" s="31">
        <v>15.21</v>
      </c>
    </row>
    <row r="14" spans="1:19" ht="15.75" customHeight="1">
      <c r="A14">
        <f t="shared" si="0"/>
        <v>0</v>
      </c>
      <c r="E14" s="20">
        <v>150411.288337962</v>
      </c>
      <c r="F14" s="20">
        <v>0</v>
      </c>
      <c r="G14" s="29">
        <v>0</v>
      </c>
      <c r="H14" s="21">
        <v>40579636.9375</v>
      </c>
      <c r="I14" s="20">
        <v>2.24029327645562</v>
      </c>
      <c r="J14" s="20">
        <v>0.98363570688406299</v>
      </c>
      <c r="K14" s="20">
        <v>40.940436247793698</v>
      </c>
      <c r="L14" s="22">
        <v>15</v>
      </c>
      <c r="M14" s="22" t="s">
        <v>45</v>
      </c>
      <c r="N14" s="22">
        <v>8</v>
      </c>
      <c r="O14" s="20">
        <v>3211.7455250168</v>
      </c>
      <c r="P14" s="22" t="s">
        <v>46</v>
      </c>
      <c r="Q14" s="30">
        <v>14.639808931733301</v>
      </c>
      <c r="R14" s="30">
        <v>16.4919511370667</v>
      </c>
      <c r="S14" s="31">
        <v>15.21</v>
      </c>
    </row>
    <row r="15" spans="1:19" ht="15.75" customHeight="1">
      <c r="A15">
        <f t="shared" si="0"/>
        <v>0</v>
      </c>
      <c r="E15" s="20">
        <v>148968.87580699599</v>
      </c>
      <c r="F15" s="20">
        <v>0</v>
      </c>
      <c r="G15" s="29">
        <v>0</v>
      </c>
      <c r="H15" s="21">
        <v>36740940</v>
      </c>
      <c r="I15" s="20">
        <v>2.02836904799616</v>
      </c>
      <c r="J15" s="20">
        <v>0.89058706880736205</v>
      </c>
      <c r="K15" s="20">
        <v>36.936846221442003</v>
      </c>
      <c r="L15" s="22">
        <v>13</v>
      </c>
      <c r="M15" s="22" t="s">
        <v>47</v>
      </c>
      <c r="N15" s="22">
        <v>7</v>
      </c>
      <c r="O15" s="20">
        <v>1769.3329940509</v>
      </c>
      <c r="P15" s="22" t="s">
        <v>48</v>
      </c>
      <c r="Q15" s="30">
        <v>14.4936496224</v>
      </c>
      <c r="R15" s="30">
        <v>15.922345351200001</v>
      </c>
      <c r="S15" s="31">
        <v>15.21</v>
      </c>
    </row>
    <row r="16" spans="1:19" ht="15.75" customHeight="1">
      <c r="A16">
        <f t="shared" si="0"/>
        <v>0</v>
      </c>
      <c r="E16" s="20">
        <v>159247.908283664</v>
      </c>
      <c r="F16" s="20">
        <v>0</v>
      </c>
      <c r="G16" s="29">
        <v>0</v>
      </c>
      <c r="H16" s="21">
        <v>27185434.875</v>
      </c>
      <c r="I16" s="20">
        <v>1.50083520114791</v>
      </c>
      <c r="J16" s="20">
        <v>0.65896510493180804</v>
      </c>
      <c r="K16" s="20">
        <v>36.7664545931611</v>
      </c>
      <c r="L16" s="22">
        <v>10</v>
      </c>
      <c r="M16" s="22" t="s">
        <v>49</v>
      </c>
      <c r="N16" s="22">
        <v>7</v>
      </c>
      <c r="O16" s="20">
        <v>12048.3654707188</v>
      </c>
      <c r="P16" s="22" t="s">
        <v>44</v>
      </c>
      <c r="Q16" s="30">
        <v>14.3610783757333</v>
      </c>
      <c r="R16" s="30">
        <v>16.6318698978667</v>
      </c>
      <c r="S16" s="31">
        <v>15.35</v>
      </c>
    </row>
    <row r="17" spans="1:19" ht="15.75" customHeight="1">
      <c r="A17">
        <f t="shared" si="0"/>
        <v>0</v>
      </c>
      <c r="E17" s="20">
        <v>148435.19621444601</v>
      </c>
      <c r="F17" s="20">
        <v>0</v>
      </c>
      <c r="G17" s="29">
        <v>0</v>
      </c>
      <c r="H17" s="21">
        <v>25304929.375</v>
      </c>
      <c r="I17" s="20">
        <v>1.3970175040582899</v>
      </c>
      <c r="J17" s="20">
        <v>0.61338232568721496</v>
      </c>
      <c r="K17" s="20">
        <v>29.830596796441</v>
      </c>
      <c r="L17" s="22">
        <v>14</v>
      </c>
      <c r="M17" s="22" t="s">
        <v>50</v>
      </c>
      <c r="N17" s="22">
        <v>7</v>
      </c>
      <c r="O17" s="20">
        <v>1235.65340150116</v>
      </c>
      <c r="P17" s="22" t="s">
        <v>51</v>
      </c>
      <c r="Q17" s="30">
        <v>14.4936496224</v>
      </c>
      <c r="R17" s="30">
        <v>16.207137662133299</v>
      </c>
      <c r="S17" s="31">
        <v>15.07</v>
      </c>
    </row>
    <row r="18" spans="1:19" ht="15.75" customHeight="1">
      <c r="A18">
        <f t="shared" si="0"/>
        <v>0</v>
      </c>
      <c r="E18" s="20">
        <v>148527.19813379599</v>
      </c>
      <c r="F18" s="20">
        <v>0</v>
      </c>
      <c r="G18" s="29">
        <v>0</v>
      </c>
      <c r="H18" s="21">
        <v>23360781.09375</v>
      </c>
      <c r="I18" s="20">
        <v>1.2896862595729801</v>
      </c>
      <c r="J18" s="20">
        <v>0.566256868654607</v>
      </c>
      <c r="K18" s="20">
        <v>34.956148741864297</v>
      </c>
      <c r="L18" s="22">
        <v>23</v>
      </c>
      <c r="M18" s="22" t="s">
        <v>52</v>
      </c>
      <c r="N18" s="22">
        <v>9</v>
      </c>
      <c r="O18" s="20">
        <v>1327.6553208511</v>
      </c>
      <c r="P18" s="22" t="s">
        <v>35</v>
      </c>
      <c r="Q18" s="30">
        <v>14.4936496224</v>
      </c>
      <c r="R18" s="30">
        <v>16.344783569333298</v>
      </c>
      <c r="S18" s="31">
        <v>15.21</v>
      </c>
    </row>
    <row r="19" spans="1:19" ht="15.75" customHeight="1">
      <c r="A19">
        <f t="shared" si="0"/>
        <v>0</v>
      </c>
      <c r="E19" s="20">
        <v>75044.117916648407</v>
      </c>
      <c r="F19" s="20">
        <v>0</v>
      </c>
      <c r="G19" s="29">
        <v>0</v>
      </c>
      <c r="H19" s="21">
        <v>12537454.25</v>
      </c>
      <c r="I19" s="20">
        <v>0.692159322905468</v>
      </c>
      <c r="J19" s="20">
        <v>0.30390334694913801</v>
      </c>
      <c r="K19" s="20">
        <v>17.028844379325498</v>
      </c>
      <c r="L19" s="22">
        <v>7</v>
      </c>
      <c r="M19" s="22" t="s">
        <v>53</v>
      </c>
      <c r="N19" s="22">
        <v>5</v>
      </c>
      <c r="O19" s="20">
        <v>-72155.4248962969</v>
      </c>
      <c r="P19" s="22" t="s">
        <v>54</v>
      </c>
      <c r="Q19" s="30">
        <v>14.4936496224</v>
      </c>
      <c r="R19" s="30">
        <v>15.637620116266699</v>
      </c>
      <c r="S19" s="31">
        <v>15.07</v>
      </c>
    </row>
    <row r="20" spans="1:19" ht="15.75" customHeight="1">
      <c r="A20" t="str">
        <f t="shared" si="0"/>
        <v>Trastuzumab ADC_2K_loss_deglyc</v>
      </c>
      <c r="B20" s="25">
        <v>0</v>
      </c>
      <c r="C20" t="s">
        <v>19</v>
      </c>
      <c r="D20" t="s">
        <v>36</v>
      </c>
      <c r="E20" s="20">
        <v>147094.328894298</v>
      </c>
      <c r="F20" s="20">
        <v>147084.24704399999</v>
      </c>
      <c r="G20" s="29">
        <v>68.540033958290493</v>
      </c>
      <c r="H20" s="21">
        <v>12087169.125</v>
      </c>
      <c r="I20" s="20">
        <v>0.667300276879495</v>
      </c>
      <c r="J20" s="20">
        <v>0.29298859504267899</v>
      </c>
      <c r="K20" s="20">
        <v>61.731904554870098</v>
      </c>
      <c r="L20" s="22">
        <v>25</v>
      </c>
      <c r="M20" s="22" t="s">
        <v>55</v>
      </c>
      <c r="N20" s="22">
        <v>3</v>
      </c>
      <c r="O20" s="20">
        <v>-105.213918647642</v>
      </c>
      <c r="P20" s="22" t="s">
        <v>56</v>
      </c>
      <c r="Q20" s="30">
        <v>14.639808931733301</v>
      </c>
      <c r="R20" s="30">
        <v>16.911954300000001</v>
      </c>
      <c r="S20" s="31">
        <v>14.93</v>
      </c>
    </row>
    <row r="21" spans="1:19" ht="15.75" customHeight="1">
      <c r="A21">
        <f t="shared" si="0"/>
        <v>0</v>
      </c>
      <c r="E21" s="20">
        <v>100673.11714797</v>
      </c>
      <c r="F21" s="20">
        <v>0</v>
      </c>
      <c r="G21" s="29">
        <v>0</v>
      </c>
      <c r="H21" s="21">
        <v>6966807.078125</v>
      </c>
      <c r="I21" s="20">
        <v>0.38461879283848999</v>
      </c>
      <c r="J21" s="20">
        <v>0.16887288023875699</v>
      </c>
      <c r="K21" s="20">
        <v>23.041128849313601</v>
      </c>
      <c r="L21" s="22">
        <v>10</v>
      </c>
      <c r="M21" s="22" t="s">
        <v>57</v>
      </c>
      <c r="N21" s="22">
        <v>4</v>
      </c>
      <c r="O21" s="20">
        <v>-46526.4256649749</v>
      </c>
      <c r="P21" s="22" t="s">
        <v>58</v>
      </c>
      <c r="Q21" s="30">
        <v>14.9222173458667</v>
      </c>
      <c r="R21" s="30">
        <v>16.911954300000001</v>
      </c>
      <c r="S21" s="31">
        <v>15.5</v>
      </c>
    </row>
    <row r="22" spans="1:19" ht="15.75" customHeight="1">
      <c r="A22">
        <f t="shared" si="0"/>
        <v>0</v>
      </c>
      <c r="E22" s="20">
        <v>141199.91421004501</v>
      </c>
      <c r="F22" s="20">
        <v>0</v>
      </c>
      <c r="G22" s="29">
        <v>0</v>
      </c>
      <c r="H22" s="21">
        <v>6693905.0625</v>
      </c>
      <c r="I22" s="20">
        <v>0.36955261118697402</v>
      </c>
      <c r="J22" s="20">
        <v>0.16225783818396</v>
      </c>
      <c r="K22" s="20">
        <v>19.261681447037802</v>
      </c>
      <c r="L22" s="22">
        <v>9</v>
      </c>
      <c r="M22" s="22" t="s">
        <v>59</v>
      </c>
      <c r="N22" s="22">
        <v>4</v>
      </c>
      <c r="O22" s="20">
        <v>-5999.6286029000803</v>
      </c>
      <c r="P22" s="22" t="s">
        <v>60</v>
      </c>
      <c r="Q22" s="30">
        <v>14.639808931733301</v>
      </c>
      <c r="R22" s="30">
        <v>16.207137662133299</v>
      </c>
      <c r="S22" s="31">
        <v>15.07</v>
      </c>
    </row>
    <row r="23" spans="1:19" ht="15.75" customHeight="1">
      <c r="A23" t="str">
        <f t="shared" si="0"/>
        <v>Trastuzumab ADC_1K_loss_deglyc</v>
      </c>
      <c r="B23" s="25">
        <v>0</v>
      </c>
      <c r="C23" t="s">
        <v>61</v>
      </c>
      <c r="D23" t="s">
        <v>62</v>
      </c>
      <c r="E23" s="20">
        <v>147309.628368676</v>
      </c>
      <c r="F23" s="20">
        <v>147299.49804400001</v>
      </c>
      <c r="G23" s="29">
        <v>68.768924256420704</v>
      </c>
      <c r="H23" s="21">
        <v>5231299.25</v>
      </c>
      <c r="I23" s="20">
        <v>0.288806042161388</v>
      </c>
      <c r="J23" s="20">
        <v>0.12680479757688201</v>
      </c>
      <c r="K23" s="20">
        <v>30.9536374776538</v>
      </c>
      <c r="L23" s="22">
        <v>15</v>
      </c>
      <c r="M23" s="22" t="s">
        <v>63</v>
      </c>
      <c r="N23" s="22">
        <v>5</v>
      </c>
      <c r="O23" s="20">
        <v>110.08555573038799</v>
      </c>
      <c r="P23" s="22" t="s">
        <v>64</v>
      </c>
      <c r="Q23" s="30">
        <v>15.2133392048</v>
      </c>
      <c r="R23" s="30">
        <v>16.4919511370667</v>
      </c>
      <c r="S23" s="31">
        <v>15.78</v>
      </c>
    </row>
    <row r="24" spans="1:19" ht="15.75" customHeight="1">
      <c r="A24">
        <f t="shared" si="0"/>
        <v>0</v>
      </c>
      <c r="E24" s="20">
        <v>45837.828792745597</v>
      </c>
      <c r="F24" s="20">
        <v>0</v>
      </c>
      <c r="G24" s="29">
        <v>0</v>
      </c>
      <c r="H24" s="21">
        <v>4721828</v>
      </c>
      <c r="I24" s="20">
        <v>0.260679503829151</v>
      </c>
      <c r="J24" s="20">
        <v>0.114455402207361</v>
      </c>
      <c r="K24" s="20">
        <v>9.4366409979933898</v>
      </c>
      <c r="L24" s="22">
        <v>7</v>
      </c>
      <c r="M24" s="22" t="s">
        <v>65</v>
      </c>
      <c r="N24" s="22">
        <v>4</v>
      </c>
      <c r="O24" s="20">
        <v>-101361.7140202</v>
      </c>
      <c r="P24" s="22" t="s">
        <v>66</v>
      </c>
      <c r="Q24" s="30">
        <v>14.4936496224</v>
      </c>
      <c r="R24" s="30">
        <v>15.4950106157333</v>
      </c>
      <c r="S24" s="31">
        <v>15.07</v>
      </c>
    </row>
    <row r="25" spans="1:19" ht="15.75" customHeight="1">
      <c r="A25">
        <f t="shared" si="0"/>
        <v>0</v>
      </c>
      <c r="E25" s="20">
        <v>36048.238155350198</v>
      </c>
      <c r="F25" s="20">
        <v>0</v>
      </c>
      <c r="G25" s="29">
        <v>0</v>
      </c>
      <c r="H25" s="21">
        <v>3405739.75</v>
      </c>
      <c r="I25" s="20">
        <v>0.188021789019405</v>
      </c>
      <c r="J25" s="20">
        <v>8.2553899212834694E-2</v>
      </c>
      <c r="K25" s="20">
        <v>11.421893571997</v>
      </c>
      <c r="L25" s="22">
        <v>7</v>
      </c>
      <c r="M25" s="22" t="s">
        <v>67</v>
      </c>
      <c r="N25" s="22">
        <v>3</v>
      </c>
      <c r="O25" s="20">
        <v>-111151.304657595</v>
      </c>
      <c r="P25" s="22" t="s">
        <v>68</v>
      </c>
      <c r="Q25" s="30">
        <v>14.9222173458667</v>
      </c>
      <c r="R25" s="30">
        <v>16.207137662133299</v>
      </c>
      <c r="S25" s="31">
        <v>15.35</v>
      </c>
    </row>
    <row r="26" spans="1:19" ht="15.75" customHeight="1">
      <c r="A26">
        <f t="shared" si="0"/>
        <v>0</v>
      </c>
      <c r="E26" s="20">
        <v>100566.62233884601</v>
      </c>
      <c r="F26" s="20">
        <v>0</v>
      </c>
      <c r="G26" s="29">
        <v>0</v>
      </c>
      <c r="H26" s="21">
        <v>2972544.3125</v>
      </c>
      <c r="I26" s="20">
        <v>0.16410622403758501</v>
      </c>
      <c r="J26" s="20">
        <v>7.20533973751281E-2</v>
      </c>
      <c r="K26" s="20">
        <v>24.130300889292499</v>
      </c>
      <c r="L26" s="22">
        <v>12</v>
      </c>
      <c r="M26" s="22" t="s">
        <v>69</v>
      </c>
      <c r="N26" s="22">
        <v>3</v>
      </c>
      <c r="O26" s="20">
        <v>-46632.920474099403</v>
      </c>
      <c r="P26" s="22" t="s">
        <v>70</v>
      </c>
      <c r="Q26" s="30">
        <v>15.354278275466701</v>
      </c>
      <c r="R26" s="30">
        <v>16.207137662133299</v>
      </c>
      <c r="S26" s="31">
        <v>15.64</v>
      </c>
    </row>
    <row r="27" spans="1:19" ht="15.75" customHeight="1">
      <c r="A27">
        <f t="shared" si="0"/>
        <v>0</v>
      </c>
      <c r="E27" s="20">
        <v>68680.473959418305</v>
      </c>
      <c r="F27" s="20">
        <v>0</v>
      </c>
      <c r="G27" s="29">
        <v>0</v>
      </c>
      <c r="H27" s="21">
        <v>2617671.8125</v>
      </c>
      <c r="I27" s="20">
        <v>0.14451466115745101</v>
      </c>
      <c r="J27" s="20">
        <v>6.3451416105491196E-2</v>
      </c>
      <c r="K27" s="20">
        <v>13.045708785615901</v>
      </c>
      <c r="L27" s="22">
        <v>7</v>
      </c>
      <c r="M27" s="22" t="s">
        <v>71</v>
      </c>
      <c r="N27" s="22">
        <v>3</v>
      </c>
      <c r="O27" s="20">
        <v>-78519.068853527002</v>
      </c>
      <c r="P27" s="22" t="s">
        <v>72</v>
      </c>
      <c r="Q27" s="30">
        <v>14.4936496224</v>
      </c>
      <c r="R27" s="30">
        <v>16.0618078864</v>
      </c>
      <c r="S27" s="31">
        <v>15.64</v>
      </c>
    </row>
    <row r="28" spans="1:19" ht="15.75" customHeight="1">
      <c r="A28">
        <f t="shared" si="0"/>
        <v>0</v>
      </c>
      <c r="E28" s="20">
        <v>45382.177117100502</v>
      </c>
      <c r="F28" s="20">
        <v>0</v>
      </c>
      <c r="G28" s="29">
        <v>0</v>
      </c>
      <c r="H28" s="21">
        <v>1218366.6953125</v>
      </c>
      <c r="I28" s="20">
        <v>6.7262767652547698E-2</v>
      </c>
      <c r="J28" s="20">
        <v>2.9532767295345999E-2</v>
      </c>
      <c r="K28" s="20">
        <v>38.6266252450976</v>
      </c>
      <c r="L28" s="22">
        <v>7</v>
      </c>
      <c r="M28" s="22" t="s">
        <v>73</v>
      </c>
      <c r="N28" s="22">
        <v>6</v>
      </c>
      <c r="O28" s="20">
        <v>-101817.365695845</v>
      </c>
      <c r="P28" s="22" t="s">
        <v>74</v>
      </c>
      <c r="Q28" s="30">
        <v>13.4961866109333</v>
      </c>
      <c r="R28" s="30">
        <v>14.778760745333299</v>
      </c>
      <c r="S28" s="31">
        <v>14.07</v>
      </c>
    </row>
    <row r="29" spans="1:19" ht="15.75" customHeight="1">
      <c r="A29">
        <f t="shared" si="0"/>
        <v>0</v>
      </c>
      <c r="E29" s="20">
        <v>45427.452631474502</v>
      </c>
      <c r="F29" s="20">
        <v>0</v>
      </c>
      <c r="G29" s="29">
        <v>0</v>
      </c>
      <c r="H29" s="21">
        <v>884476.2265625</v>
      </c>
      <c r="I29" s="20">
        <v>4.88295671647372E-2</v>
      </c>
      <c r="J29" s="20">
        <v>2.1439383102072399E-2</v>
      </c>
      <c r="K29" s="20">
        <v>35.0025792997574</v>
      </c>
      <c r="L29" s="22">
        <v>6</v>
      </c>
      <c r="M29" s="22" t="s">
        <v>75</v>
      </c>
      <c r="N29" s="22">
        <v>6</v>
      </c>
      <c r="O29" s="20">
        <v>-101772.09018147099</v>
      </c>
      <c r="P29" s="22" t="s">
        <v>74</v>
      </c>
      <c r="Q29" s="30">
        <v>13.4961866109333</v>
      </c>
      <c r="R29" s="30">
        <v>14.778760745333299</v>
      </c>
      <c r="S29" s="31">
        <v>14.07</v>
      </c>
    </row>
    <row r="30" spans="1:19" ht="15.75" customHeight="1">
      <c r="A30">
        <f t="shared" si="0"/>
        <v>0</v>
      </c>
      <c r="E30" s="20">
        <v>43403.481360444799</v>
      </c>
      <c r="F30" s="20">
        <v>0</v>
      </c>
      <c r="G30" s="29">
        <v>0</v>
      </c>
      <c r="H30" s="21">
        <v>771725.5546875</v>
      </c>
      <c r="I30" s="20">
        <v>4.2604903646101602E-2</v>
      </c>
      <c r="J30" s="20">
        <v>1.8706347492575999E-2</v>
      </c>
      <c r="K30" s="20">
        <v>33.607618472927797</v>
      </c>
      <c r="L30" s="22">
        <v>6</v>
      </c>
      <c r="M30" s="22" t="s">
        <v>76</v>
      </c>
      <c r="N30" s="22">
        <v>5</v>
      </c>
      <c r="O30" s="20">
        <v>-103796.0614525</v>
      </c>
      <c r="P30" s="22" t="s">
        <v>74</v>
      </c>
      <c r="Q30" s="30">
        <v>13.4961866109333</v>
      </c>
      <c r="R30" s="30">
        <v>14.778760745333299</v>
      </c>
      <c r="S30" s="31">
        <v>14.07</v>
      </c>
    </row>
    <row r="31" spans="1:19" ht="15.75" customHeight="1">
      <c r="A31">
        <f t="shared" si="0"/>
        <v>0</v>
      </c>
      <c r="E31" s="20">
        <v>43493.439760209498</v>
      </c>
      <c r="F31" s="20">
        <v>0</v>
      </c>
      <c r="G31" s="29">
        <v>0</v>
      </c>
      <c r="H31" s="21">
        <v>516333.6875</v>
      </c>
      <c r="I31" s="20">
        <v>2.8505402596618601E-2</v>
      </c>
      <c r="J31" s="20">
        <v>1.2515741634282899E-2</v>
      </c>
      <c r="K31" s="20">
        <v>36.204834970298201</v>
      </c>
      <c r="L31" s="22">
        <v>6</v>
      </c>
      <c r="M31" s="22" t="s">
        <v>76</v>
      </c>
      <c r="N31" s="22">
        <v>3</v>
      </c>
      <c r="O31" s="20">
        <v>-103706.103052736</v>
      </c>
      <c r="P31" s="22" t="s">
        <v>77</v>
      </c>
      <c r="Q31" s="30">
        <v>13.776585482933299</v>
      </c>
      <c r="R31" s="30">
        <v>14.778760745333299</v>
      </c>
      <c r="S31" s="31">
        <v>14.21</v>
      </c>
    </row>
    <row r="32" spans="1:19" ht="15.75" customHeight="1">
      <c r="E32" s="20"/>
      <c r="F32" s="20"/>
      <c r="G32" s="29"/>
      <c r="H32" s="21"/>
      <c r="I32" s="20"/>
      <c r="J32" s="20"/>
      <c r="K32" s="20"/>
      <c r="L32" s="22"/>
      <c r="M32" s="22"/>
      <c r="N32" s="22"/>
      <c r="O32" s="20"/>
      <c r="P32" s="22"/>
      <c r="Q32" s="30"/>
      <c r="R32" s="30"/>
      <c r="S32" s="31"/>
    </row>
    <row r="33" spans="5:19" ht="15.75" customHeight="1">
      <c r="E33" s="20"/>
      <c r="F33" s="20"/>
      <c r="G33" s="29"/>
      <c r="H33" s="21"/>
      <c r="I33" s="20"/>
      <c r="J33" s="20"/>
      <c r="K33" s="20"/>
      <c r="L33" s="22"/>
      <c r="M33" s="22"/>
      <c r="N33" s="22"/>
      <c r="O33" s="20"/>
      <c r="P33" s="22"/>
      <c r="Q33" s="30"/>
      <c r="R33" s="30"/>
      <c r="S33" s="31"/>
    </row>
    <row r="34" spans="5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5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5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5:19" ht="15.75" customHeight="1"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5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5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5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5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5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5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5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5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5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5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5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20"/>
      <c r="F55" s="20"/>
      <c r="G55" s="29"/>
      <c r="H55" s="21"/>
      <c r="I55" s="20"/>
      <c r="J55" s="20"/>
      <c r="K55" s="20"/>
      <c r="L55" s="22"/>
      <c r="M55" s="22"/>
      <c r="N55" s="22"/>
      <c r="O55" s="20"/>
      <c r="P55" s="22"/>
      <c r="Q55" s="30"/>
      <c r="R55" s="30"/>
      <c r="S55" s="31"/>
    </row>
    <row r="56" spans="5:19" ht="15.75" customHeight="1">
      <c r="E56" s="20"/>
      <c r="F56" s="20"/>
      <c r="G56" s="29"/>
      <c r="H56" s="21"/>
      <c r="I56" s="20"/>
      <c r="J56" s="20"/>
      <c r="K56" s="20"/>
      <c r="L56" s="22"/>
      <c r="M56" s="22"/>
      <c r="N56" s="22"/>
      <c r="O56" s="20"/>
      <c r="P56" s="22"/>
      <c r="Q56" s="30"/>
      <c r="R56" s="30"/>
      <c r="S56" s="31"/>
    </row>
    <row r="57" spans="5:19" ht="15.75" customHeight="1">
      <c r="E57" s="20"/>
      <c r="F57" s="20"/>
      <c r="G57" s="29"/>
      <c r="H57" s="21"/>
      <c r="I57" s="20"/>
      <c r="J57" s="20"/>
      <c r="K57" s="20"/>
      <c r="L57" s="22"/>
      <c r="M57" s="22"/>
      <c r="N57" s="22"/>
      <c r="O57" s="20"/>
      <c r="P57" s="22"/>
      <c r="Q57" s="30"/>
      <c r="R57" s="30"/>
      <c r="S57" s="31"/>
    </row>
    <row r="58" spans="5:19" ht="15.75" customHeight="1">
      <c r="E58" s="20"/>
      <c r="F58" s="20"/>
      <c r="G58" s="29"/>
      <c r="H58" s="21"/>
      <c r="I58" s="20"/>
      <c r="J58" s="20"/>
      <c r="K58" s="20"/>
      <c r="L58" s="22"/>
      <c r="M58" s="22"/>
      <c r="N58" s="22"/>
      <c r="O58" s="20"/>
      <c r="P58" s="22"/>
      <c r="Q58" s="30"/>
      <c r="R58" s="30"/>
      <c r="S58" s="31"/>
    </row>
    <row r="59" spans="5:19" ht="15.75" customHeight="1">
      <c r="E59" s="20"/>
      <c r="F59" s="20"/>
      <c r="G59" s="29"/>
      <c r="H59" s="21"/>
      <c r="I59" s="20"/>
      <c r="J59" s="20"/>
      <c r="K59" s="20"/>
      <c r="L59" s="22"/>
      <c r="M59" s="22"/>
      <c r="N59" s="22"/>
      <c r="O59" s="20"/>
      <c r="P59" s="22"/>
      <c r="Q59" s="30"/>
      <c r="R59" s="30"/>
      <c r="S59" s="31"/>
    </row>
    <row r="60" spans="5:19" ht="15.75" customHeight="1">
      <c r="E60" s="20"/>
      <c r="F60" s="20"/>
      <c r="G60" s="29"/>
      <c r="H60" s="21"/>
      <c r="I60" s="20"/>
      <c r="J60" s="20"/>
      <c r="K60" s="20"/>
      <c r="L60" s="22"/>
      <c r="M60" s="22"/>
      <c r="N60" s="22"/>
      <c r="O60" s="20"/>
      <c r="P60" s="22"/>
      <c r="Q60" s="30"/>
      <c r="R60" s="30"/>
      <c r="S60" s="31"/>
    </row>
    <row r="61" spans="5:19" ht="15.75" customHeight="1">
      <c r="E61" s="20"/>
      <c r="F61" s="20"/>
      <c r="G61" s="29"/>
      <c r="H61" s="21"/>
      <c r="I61" s="20"/>
      <c r="J61" s="20"/>
      <c r="K61" s="20"/>
      <c r="L61" s="22"/>
      <c r="M61" s="22"/>
      <c r="N61" s="22"/>
      <c r="O61" s="20"/>
      <c r="P61" s="22"/>
      <c r="Q61" s="30"/>
      <c r="R61" s="30"/>
      <c r="S61" s="31"/>
    </row>
    <row r="62" spans="5:19" ht="15.75" customHeight="1">
      <c r="E62" s="20"/>
      <c r="F62" s="20"/>
      <c r="G62" s="29"/>
      <c r="H62" s="21"/>
      <c r="I62" s="20"/>
      <c r="J62" s="20"/>
      <c r="K62" s="20"/>
      <c r="L62" s="22"/>
      <c r="M62" s="22"/>
      <c r="N62" s="22"/>
      <c r="O62" s="20"/>
      <c r="P62" s="22"/>
      <c r="Q62" s="30"/>
      <c r="R62" s="30"/>
      <c r="S62" s="31"/>
    </row>
    <row r="63" spans="5:19" ht="15.75" customHeight="1">
      <c r="E63" s="20"/>
      <c r="F63" s="20"/>
      <c r="G63" s="29"/>
      <c r="H63" s="21"/>
      <c r="I63" s="20"/>
      <c r="J63" s="20"/>
      <c r="K63" s="20"/>
      <c r="L63" s="22"/>
      <c r="M63" s="22"/>
      <c r="N63" s="22"/>
      <c r="O63" s="20"/>
      <c r="P63" s="22"/>
      <c r="Q63" s="30"/>
      <c r="R63" s="30"/>
      <c r="S63" s="31"/>
    </row>
    <row r="64" spans="5:19" ht="15.75" customHeight="1">
      <c r="E64" s="20"/>
      <c r="F64" s="20"/>
      <c r="G64" s="29"/>
      <c r="H64" s="21"/>
      <c r="I64" s="20"/>
      <c r="J64" s="20"/>
      <c r="K64" s="20"/>
      <c r="L64" s="22"/>
      <c r="M64" s="22"/>
      <c r="N64" s="22"/>
      <c r="O64" s="20"/>
      <c r="P64" s="22"/>
      <c r="Q64" s="30"/>
      <c r="R64" s="30"/>
      <c r="S64" s="31"/>
    </row>
    <row r="65" spans="5:19" ht="15.75" customHeight="1">
      <c r="E65" s="20"/>
      <c r="F65" s="20"/>
      <c r="G65" s="29"/>
      <c r="H65" s="21"/>
      <c r="I65" s="20"/>
      <c r="J65" s="20"/>
      <c r="K65" s="20"/>
      <c r="L65" s="22"/>
      <c r="M65" s="22"/>
      <c r="N65" s="22"/>
      <c r="O65" s="20"/>
      <c r="P65" s="22"/>
      <c r="Q65" s="30"/>
      <c r="R65" s="30"/>
      <c r="S65" s="31"/>
    </row>
    <row r="66" spans="5:19" ht="15.75" customHeight="1">
      <c r="E66" s="20"/>
      <c r="F66" s="20"/>
      <c r="G66" s="29"/>
      <c r="H66" s="21"/>
      <c r="I66" s="20"/>
      <c r="J66" s="20"/>
      <c r="K66" s="20"/>
      <c r="L66" s="22"/>
      <c r="M66" s="22"/>
      <c r="N66" s="22"/>
      <c r="O66" s="20"/>
      <c r="P66" s="22"/>
      <c r="Q66" s="30"/>
      <c r="R66" s="30"/>
      <c r="S66" s="31"/>
    </row>
    <row r="67" spans="5:19" ht="15.75" customHeight="1">
      <c r="E67" s="20"/>
      <c r="F67" s="20"/>
      <c r="G67" s="29"/>
      <c r="H67" s="21"/>
      <c r="I67" s="20"/>
      <c r="J67" s="20"/>
      <c r="K67" s="20"/>
      <c r="L67" s="22"/>
      <c r="M67" s="22"/>
      <c r="N67" s="22"/>
      <c r="O67" s="20"/>
      <c r="P67" s="22"/>
      <c r="Q67" s="30"/>
      <c r="R67" s="30"/>
      <c r="S67" s="31"/>
    </row>
    <row r="68" spans="5:19" ht="15.75" customHeight="1">
      <c r="E68" s="20"/>
      <c r="F68" s="20"/>
      <c r="G68" s="29"/>
      <c r="H68" s="21"/>
      <c r="I68" s="20"/>
      <c r="J68" s="20"/>
      <c r="K68" s="20"/>
      <c r="L68" s="22"/>
      <c r="M68" s="22"/>
      <c r="N68" s="22"/>
      <c r="O68" s="20"/>
      <c r="P68" s="22"/>
      <c r="Q68" s="30"/>
      <c r="R68" s="30"/>
      <c r="S68" s="31"/>
    </row>
    <row r="69" spans="5:19" ht="15.75" customHeight="1">
      <c r="E69" s="20"/>
      <c r="F69" s="20"/>
      <c r="G69" s="29"/>
      <c r="H69" s="21"/>
      <c r="I69" s="20"/>
      <c r="J69" s="20"/>
      <c r="K69" s="20"/>
      <c r="L69" s="22"/>
      <c r="M69" s="22"/>
      <c r="N69" s="22"/>
      <c r="O69" s="20"/>
      <c r="P69" s="22"/>
      <c r="Q69" s="30"/>
      <c r="R69" s="30"/>
      <c r="S69" s="31"/>
    </row>
    <row r="70" spans="5:19" ht="15.75" customHeight="1">
      <c r="E70" s="20"/>
      <c r="F70" s="20"/>
      <c r="G70" s="29"/>
      <c r="H70" s="21"/>
      <c r="I70" s="20"/>
      <c r="J70" s="20"/>
      <c r="K70" s="20"/>
      <c r="L70" s="22"/>
      <c r="M70" s="22"/>
      <c r="N70" s="22"/>
      <c r="O70" s="20"/>
      <c r="P70" s="22"/>
      <c r="Q70" s="30"/>
      <c r="R70" s="30"/>
      <c r="S70" s="31"/>
    </row>
    <row r="71" spans="5:19" ht="15.75" customHeight="1">
      <c r="E71" s="20"/>
      <c r="F71" s="20"/>
      <c r="G71" s="29"/>
      <c r="H71" s="21"/>
      <c r="I71" s="20"/>
      <c r="J71" s="20"/>
      <c r="K71" s="20"/>
      <c r="L71" s="22"/>
      <c r="M71" s="22"/>
      <c r="N71" s="22"/>
      <c r="O71" s="20"/>
      <c r="P71" s="22"/>
      <c r="Q71" s="30"/>
      <c r="R71" s="30"/>
      <c r="S71" s="31"/>
    </row>
    <row r="72" spans="5:19" ht="15.75" customHeight="1">
      <c r="E72" s="20"/>
      <c r="F72" s="20"/>
      <c r="G72" s="29"/>
      <c r="H72" s="21"/>
      <c r="I72" s="20"/>
      <c r="J72" s="20"/>
      <c r="K72" s="20"/>
      <c r="L72" s="22"/>
      <c r="M72" s="22"/>
      <c r="N72" s="22"/>
      <c r="O72" s="20"/>
      <c r="P72" s="22"/>
      <c r="Q72" s="30"/>
      <c r="R72" s="30"/>
      <c r="S72" s="31"/>
    </row>
    <row r="73" spans="5:19" ht="15.75" customHeight="1">
      <c r="E73" s="20"/>
      <c r="F73" s="20"/>
      <c r="G73" s="29"/>
      <c r="H73" s="21"/>
      <c r="I73" s="20"/>
      <c r="J73" s="20"/>
      <c r="K73" s="20"/>
      <c r="L73" s="22"/>
      <c r="M73" s="22"/>
      <c r="N73" s="22"/>
      <c r="O73" s="20"/>
      <c r="P73" s="22"/>
      <c r="Q73" s="30"/>
      <c r="R73" s="30"/>
      <c r="S73" s="31"/>
    </row>
    <row r="74" spans="5:19" ht="15.75" customHeight="1">
      <c r="E74" s="20"/>
      <c r="F74" s="20"/>
      <c r="G74" s="29"/>
      <c r="H74" s="21"/>
      <c r="I74" s="20"/>
      <c r="J74" s="20"/>
      <c r="K74" s="20"/>
      <c r="L74" s="22"/>
      <c r="M74" s="22"/>
      <c r="N74" s="22"/>
      <c r="O74" s="20"/>
      <c r="P74" s="22"/>
      <c r="Q74" s="30"/>
      <c r="R74" s="30"/>
      <c r="S74" s="31"/>
    </row>
    <row r="75" spans="5:19" ht="15.75" customHeight="1">
      <c r="E75" s="20"/>
      <c r="F75" s="20"/>
      <c r="G75" s="29"/>
      <c r="H75" s="21"/>
      <c r="I75" s="20"/>
      <c r="J75" s="20"/>
      <c r="K75" s="20"/>
      <c r="L75" s="22"/>
      <c r="M75" s="22"/>
      <c r="N75" s="22"/>
      <c r="O75" s="20"/>
      <c r="P75" s="22"/>
      <c r="Q75" s="30"/>
      <c r="R75" s="30"/>
      <c r="S75" s="31"/>
    </row>
    <row r="76" spans="5:19" ht="15.75" customHeight="1">
      <c r="E76" s="20"/>
      <c r="F76" s="20"/>
      <c r="G76" s="29"/>
      <c r="H76" s="21"/>
      <c r="I76" s="20"/>
      <c r="J76" s="20"/>
      <c r="K76" s="20"/>
      <c r="L76" s="22"/>
      <c r="M76" s="22"/>
      <c r="N76" s="22"/>
      <c r="O76" s="20"/>
      <c r="P76" s="22"/>
      <c r="Q76" s="30"/>
      <c r="R76" s="30"/>
      <c r="S76" s="31"/>
    </row>
    <row r="77" spans="5:19" ht="15.75" customHeight="1">
      <c r="E77" s="20"/>
      <c r="F77" s="20"/>
      <c r="G77" s="29"/>
      <c r="H77" s="21"/>
      <c r="I77" s="20"/>
      <c r="J77" s="20"/>
      <c r="K77" s="20"/>
      <c r="L77" s="22"/>
      <c r="M77" s="22"/>
      <c r="N77" s="22"/>
      <c r="O77" s="20"/>
      <c r="P77" s="22"/>
      <c r="Q77" s="30"/>
      <c r="R77" s="30"/>
      <c r="S77" s="31"/>
    </row>
    <row r="78" spans="5:19" ht="15.75" customHeight="1">
      <c r="E78" s="20"/>
      <c r="F78" s="20"/>
      <c r="G78" s="29"/>
      <c r="H78" s="21"/>
      <c r="I78" s="20"/>
      <c r="J78" s="20"/>
      <c r="K78" s="20"/>
      <c r="L78" s="22"/>
      <c r="M78" s="22"/>
      <c r="N78" s="22"/>
      <c r="O78" s="20"/>
      <c r="P78" s="22"/>
      <c r="Q78" s="30"/>
      <c r="R78" s="30"/>
      <c r="S78" s="31"/>
    </row>
    <row r="79" spans="5:19" ht="15.75" customHeight="1">
      <c r="E79" s="20"/>
      <c r="F79" s="20"/>
      <c r="G79" s="29"/>
      <c r="H79" s="21"/>
      <c r="I79" s="20"/>
      <c r="J79" s="20"/>
      <c r="K79" s="20"/>
      <c r="L79" s="22"/>
      <c r="M79" s="22"/>
      <c r="N79" s="22"/>
      <c r="O79" s="20"/>
      <c r="P79" s="22"/>
      <c r="Q79" s="30"/>
      <c r="R79" s="30"/>
      <c r="S79" s="31"/>
    </row>
    <row r="80" spans="5:19" ht="15.75" customHeight="1">
      <c r="E80" s="20"/>
      <c r="F80" s="20"/>
      <c r="G80" s="29"/>
      <c r="H80" s="21"/>
      <c r="I80" s="20"/>
      <c r="J80" s="20"/>
      <c r="K80" s="20"/>
      <c r="L80" s="22"/>
      <c r="M80" s="22"/>
      <c r="N80" s="22"/>
      <c r="O80" s="20"/>
      <c r="P80" s="22"/>
      <c r="Q80" s="30"/>
      <c r="R80" s="30"/>
      <c r="S80" s="31"/>
    </row>
    <row r="81" spans="5:19" ht="15.75" customHeight="1">
      <c r="E81" s="20"/>
      <c r="F81" s="20"/>
      <c r="G81" s="29"/>
      <c r="H81" s="21"/>
      <c r="I81" s="20"/>
      <c r="J81" s="20"/>
      <c r="K81" s="20"/>
      <c r="L81" s="22"/>
      <c r="M81" s="22"/>
      <c r="N81" s="22"/>
      <c r="O81" s="20"/>
      <c r="P81" s="22"/>
      <c r="Q81" s="30"/>
      <c r="R81" s="30"/>
      <c r="S81" s="31"/>
    </row>
    <row r="82" spans="5:19" ht="15.75" customHeight="1">
      <c r="E82" s="20"/>
      <c r="F82" s="20"/>
      <c r="G82" s="29"/>
      <c r="H82" s="21"/>
      <c r="I82" s="20"/>
      <c r="J82" s="20"/>
      <c r="K82" s="20"/>
      <c r="L82" s="22"/>
      <c r="M82" s="22"/>
      <c r="N82" s="22"/>
      <c r="O82" s="20"/>
      <c r="P82" s="22"/>
      <c r="Q82" s="30"/>
      <c r="R82" s="30"/>
      <c r="S82" s="31"/>
    </row>
    <row r="83" spans="5:19" ht="15.75" customHeight="1">
      <c r="E83" s="20"/>
      <c r="F83" s="20"/>
      <c r="G83" s="29"/>
      <c r="H83" s="21"/>
      <c r="I83" s="20"/>
      <c r="J83" s="20"/>
      <c r="K83" s="20"/>
      <c r="L83" s="22"/>
      <c r="M83" s="22"/>
      <c r="N83" s="22"/>
      <c r="O83" s="20"/>
      <c r="P83" s="22"/>
      <c r="Q83" s="30"/>
      <c r="R83" s="30"/>
      <c r="S83" s="31"/>
    </row>
    <row r="84" spans="5:19" ht="15.75" customHeight="1">
      <c r="E84" s="20"/>
      <c r="F84" s="20"/>
      <c r="G84" s="29"/>
      <c r="H84" s="21"/>
      <c r="I84" s="20"/>
      <c r="J84" s="20"/>
      <c r="K84" s="20"/>
      <c r="L84" s="22"/>
      <c r="M84" s="22"/>
      <c r="N84" s="22"/>
      <c r="O84" s="20"/>
      <c r="P84" s="22"/>
      <c r="Q84" s="30"/>
      <c r="R84" s="30"/>
      <c r="S84" s="31"/>
    </row>
    <row r="85" spans="5:19" ht="15.75" customHeight="1">
      <c r="E85" s="20"/>
      <c r="F85" s="20"/>
      <c r="G85" s="29"/>
      <c r="H85" s="21"/>
      <c r="I85" s="20"/>
      <c r="J85" s="20"/>
      <c r="K85" s="20"/>
      <c r="L85" s="22"/>
      <c r="M85" s="22"/>
      <c r="N85" s="22"/>
      <c r="O85" s="20"/>
      <c r="P85" s="22"/>
      <c r="Q85" s="30"/>
      <c r="R85" s="30"/>
      <c r="S85" s="31"/>
    </row>
    <row r="86" spans="5:19" ht="15.75" customHeight="1">
      <c r="E86" s="20"/>
      <c r="F86" s="20"/>
      <c r="G86" s="29"/>
      <c r="H86" s="21"/>
      <c r="I86" s="20"/>
      <c r="J86" s="20"/>
      <c r="K86" s="20"/>
      <c r="L86" s="22"/>
      <c r="M86" s="22"/>
      <c r="N86" s="22"/>
      <c r="O86" s="20"/>
      <c r="P86" s="22"/>
      <c r="Q86" s="30"/>
      <c r="R86" s="30"/>
      <c r="S86" s="31"/>
    </row>
    <row r="87" spans="5:19" ht="15.75" customHeight="1">
      <c r="E87" s="20"/>
      <c r="F87" s="20"/>
      <c r="G87" s="29"/>
      <c r="H87" s="21"/>
      <c r="I87" s="20"/>
      <c r="J87" s="20"/>
      <c r="K87" s="20"/>
      <c r="L87" s="22"/>
      <c r="M87" s="22"/>
      <c r="N87" s="22"/>
      <c r="O87" s="20"/>
      <c r="P87" s="22"/>
      <c r="Q87" s="30"/>
      <c r="R87" s="30"/>
      <c r="S87" s="31"/>
    </row>
    <row r="88" spans="5:19" ht="15.75" customHeight="1">
      <c r="E88" s="20"/>
      <c r="F88" s="20"/>
      <c r="G88" s="29"/>
      <c r="H88" s="21"/>
      <c r="I88" s="20"/>
      <c r="J88" s="20"/>
      <c r="K88" s="20"/>
      <c r="L88" s="22"/>
      <c r="M88" s="22"/>
      <c r="N88" s="22"/>
      <c r="O88" s="20"/>
      <c r="P88" s="22"/>
      <c r="Q88" s="30"/>
      <c r="R88" s="30"/>
      <c r="S88" s="31"/>
    </row>
    <row r="89" spans="5:19" ht="15.75" customHeight="1">
      <c r="E89" s="20"/>
      <c r="F89" s="20"/>
      <c r="G89" s="29"/>
      <c r="H89" s="21"/>
      <c r="I89" s="20"/>
      <c r="J89" s="20"/>
      <c r="K89" s="20"/>
      <c r="L89" s="22"/>
      <c r="M89" s="22"/>
      <c r="N89" s="22"/>
      <c r="O89" s="20"/>
      <c r="P89" s="22"/>
      <c r="Q89" s="30"/>
      <c r="R89" s="30"/>
      <c r="S89" s="31"/>
    </row>
    <row r="90" spans="5:19" ht="15.75" customHeight="1">
      <c r="E90" s="20"/>
      <c r="F90" s="20"/>
      <c r="G90" s="29"/>
      <c r="H90" s="21"/>
      <c r="I90" s="20"/>
      <c r="J90" s="20"/>
      <c r="K90" s="20"/>
      <c r="L90" s="22"/>
      <c r="M90" s="22"/>
      <c r="N90" s="22"/>
      <c r="O90" s="20"/>
      <c r="P90" s="22"/>
      <c r="Q90" s="30"/>
      <c r="R90" s="30"/>
      <c r="S90" s="31"/>
    </row>
    <row r="91" spans="5:19" ht="15.75" customHeight="1">
      <c r="E91" s="20"/>
      <c r="F91" s="20"/>
      <c r="G91" s="29"/>
      <c r="H91" s="21"/>
      <c r="I91" s="20"/>
      <c r="J91" s="20"/>
      <c r="K91" s="20"/>
      <c r="L91" s="22"/>
      <c r="M91" s="22"/>
      <c r="N91" s="22"/>
      <c r="O91" s="20"/>
      <c r="P91" s="22"/>
      <c r="Q91" s="30"/>
      <c r="R91" s="30"/>
      <c r="S91" s="31"/>
    </row>
    <row r="92" spans="5:19" ht="15.75" customHeight="1">
      <c r="E92" s="20"/>
      <c r="F92" s="20"/>
      <c r="G92" s="29"/>
      <c r="H92" s="21"/>
      <c r="I92" s="20"/>
      <c r="J92" s="20"/>
      <c r="K92" s="20"/>
      <c r="L92" s="22"/>
      <c r="M92" s="22"/>
      <c r="N92" s="22"/>
      <c r="O92" s="20"/>
      <c r="P92" s="22"/>
      <c r="Q92" s="30"/>
      <c r="R92" s="30"/>
      <c r="S92" s="31"/>
    </row>
    <row r="93" spans="5:19" ht="15.75" customHeight="1">
      <c r="E93" s="20"/>
      <c r="F93" s="20"/>
      <c r="G93" s="29"/>
      <c r="H93" s="21"/>
      <c r="I93" s="20"/>
      <c r="J93" s="20"/>
      <c r="K93" s="20"/>
      <c r="L93" s="22"/>
      <c r="M93" s="22"/>
      <c r="N93" s="22"/>
      <c r="O93" s="20"/>
      <c r="P93" s="22"/>
      <c r="Q93" s="30"/>
      <c r="R93" s="30"/>
      <c r="S93" s="31"/>
    </row>
    <row r="94" spans="5:19" ht="15.75" customHeight="1">
      <c r="E94" s="20"/>
      <c r="F94" s="20"/>
      <c r="G94" s="29"/>
      <c r="H94" s="21"/>
      <c r="I94" s="20"/>
      <c r="J94" s="20"/>
      <c r="K94" s="20"/>
      <c r="L94" s="22"/>
      <c r="M94" s="22"/>
      <c r="N94" s="22"/>
      <c r="O94" s="20"/>
      <c r="P94" s="22"/>
      <c r="Q94" s="30"/>
      <c r="R94" s="30"/>
      <c r="S94" s="31"/>
    </row>
    <row r="95" spans="5:19" ht="15.75" customHeight="1">
      <c r="E95" s="20"/>
      <c r="F95" s="20"/>
      <c r="G95" s="29"/>
      <c r="H95" s="21"/>
      <c r="I95" s="20"/>
      <c r="J95" s="20"/>
      <c r="K95" s="20"/>
      <c r="L95" s="22"/>
      <c r="M95" s="22"/>
      <c r="N95" s="22"/>
      <c r="O95" s="20"/>
      <c r="P95" s="22"/>
      <c r="Q95" s="30"/>
      <c r="R95" s="30"/>
      <c r="S95" s="31"/>
    </row>
    <row r="96" spans="5:19" ht="15.75" customHeight="1">
      <c r="E96" s="20"/>
      <c r="F96" s="20"/>
      <c r="G96" s="29"/>
      <c r="H96" s="21"/>
      <c r="I96" s="20"/>
      <c r="J96" s="20"/>
      <c r="K96" s="20"/>
      <c r="L96" s="22"/>
      <c r="M96" s="22"/>
      <c r="N96" s="22"/>
      <c r="O96" s="20"/>
      <c r="P96" s="22"/>
      <c r="Q96" s="30"/>
      <c r="R96" s="30"/>
      <c r="S96" s="31"/>
    </row>
    <row r="97" spans="5:19" ht="15.75" customHeight="1">
      <c r="E97" s="20"/>
      <c r="F97" s="20"/>
      <c r="G97" s="29"/>
      <c r="H97" s="21"/>
      <c r="I97" s="20"/>
      <c r="J97" s="20"/>
      <c r="K97" s="20"/>
      <c r="L97" s="22"/>
      <c r="M97" s="22"/>
      <c r="N97" s="22"/>
      <c r="O97" s="20"/>
      <c r="P97" s="22"/>
      <c r="Q97" s="30"/>
      <c r="R97" s="30"/>
      <c r="S97" s="31"/>
    </row>
    <row r="98" spans="5:19" ht="15.75" customHeight="1">
      <c r="E98" s="20"/>
      <c r="F98" s="20"/>
      <c r="G98" s="29"/>
      <c r="H98" s="21"/>
      <c r="I98" s="20"/>
      <c r="J98" s="20"/>
      <c r="K98" s="20"/>
      <c r="L98" s="22"/>
      <c r="M98" s="22"/>
      <c r="N98" s="22"/>
      <c r="O98" s="20"/>
      <c r="P98" s="22"/>
      <c r="Q98" s="30"/>
      <c r="R98" s="30"/>
      <c r="S98" s="31"/>
    </row>
    <row r="99" spans="5:19" ht="15.75" customHeight="1">
      <c r="E99" s="20"/>
      <c r="F99" s="20"/>
      <c r="G99" s="29"/>
      <c r="H99" s="21"/>
      <c r="I99" s="20"/>
      <c r="J99" s="20"/>
      <c r="K99" s="20"/>
      <c r="L99" s="22"/>
      <c r="M99" s="22"/>
      <c r="N99" s="22"/>
      <c r="O99" s="20"/>
      <c r="P99" s="22"/>
      <c r="Q99" s="30"/>
      <c r="R99" s="30"/>
      <c r="S99" s="31"/>
    </row>
    <row r="100" spans="5:19" ht="15.75" customHeight="1">
      <c r="E100" s="20"/>
      <c r="F100" s="20"/>
      <c r="G100" s="29"/>
      <c r="H100" s="21"/>
      <c r="I100" s="20"/>
      <c r="J100" s="20"/>
      <c r="K100" s="20"/>
      <c r="L100" s="22"/>
      <c r="M100" s="22"/>
      <c r="N100" s="22"/>
      <c r="O100" s="20"/>
      <c r="P100" s="22"/>
      <c r="Q100" s="30"/>
      <c r="R100" s="30"/>
      <c r="S100" s="31"/>
    </row>
    <row r="101" spans="5:19" ht="15.75" customHeight="1">
      <c r="E101" s="20"/>
      <c r="F101" s="20"/>
      <c r="G101" s="29"/>
      <c r="H101" s="21"/>
      <c r="I101" s="20"/>
      <c r="J101" s="20"/>
      <c r="K101" s="20"/>
      <c r="L101" s="22"/>
      <c r="M101" s="22"/>
      <c r="N101" s="22"/>
      <c r="O101" s="20"/>
      <c r="P101" s="22"/>
      <c r="Q101" s="30"/>
      <c r="R101" s="30"/>
      <c r="S101" s="31"/>
    </row>
    <row r="102" spans="5:19" ht="15.75" customHeight="1">
      <c r="E102" s="20"/>
      <c r="F102" s="20"/>
      <c r="G102" s="29"/>
      <c r="H102" s="21"/>
      <c r="I102" s="20"/>
      <c r="J102" s="20"/>
      <c r="K102" s="20"/>
      <c r="L102" s="22"/>
      <c r="M102" s="22"/>
      <c r="N102" s="22"/>
      <c r="O102" s="20"/>
      <c r="P102" s="22"/>
      <c r="Q102" s="30"/>
      <c r="R102" s="30"/>
      <c r="S102" s="31"/>
    </row>
    <row r="103" spans="5:19" ht="15.75" customHeight="1">
      <c r="E103" s="20"/>
      <c r="F103" s="20"/>
      <c r="G103" s="29"/>
      <c r="H103" s="21"/>
      <c r="I103" s="20"/>
      <c r="J103" s="20"/>
      <c r="K103" s="20"/>
      <c r="L103" s="22"/>
      <c r="M103" s="22"/>
      <c r="N103" s="22"/>
      <c r="O103" s="20"/>
      <c r="P103" s="22"/>
      <c r="Q103" s="30"/>
      <c r="R103" s="30"/>
      <c r="S103" s="31"/>
    </row>
    <row r="104" spans="5:19" ht="15.75" customHeight="1">
      <c r="E104" s="20"/>
      <c r="F104" s="20"/>
      <c r="G104" s="29"/>
      <c r="H104" s="21"/>
      <c r="I104" s="20"/>
      <c r="J104" s="20"/>
      <c r="K104" s="20"/>
      <c r="L104" s="22"/>
      <c r="M104" s="22"/>
      <c r="N104" s="22"/>
      <c r="O104" s="20"/>
      <c r="P104" s="22"/>
      <c r="Q104" s="30"/>
      <c r="R104" s="30"/>
      <c r="S104" s="31"/>
    </row>
    <row r="105" spans="5:19" ht="15.75" customHeight="1">
      <c r="E105" s="20"/>
      <c r="F105" s="20"/>
      <c r="G105" s="29"/>
      <c r="H105" s="21"/>
      <c r="I105" s="20"/>
      <c r="J105" s="20"/>
      <c r="K105" s="20"/>
      <c r="L105" s="22"/>
      <c r="M105" s="22"/>
      <c r="N105" s="22"/>
      <c r="O105" s="20"/>
      <c r="P105" s="22"/>
      <c r="Q105" s="30"/>
      <c r="R105" s="30"/>
      <c r="S105" s="31"/>
    </row>
    <row r="106" spans="5:19" ht="15.75" customHeight="1">
      <c r="E106" s="20"/>
      <c r="F106" s="20"/>
      <c r="G106" s="29"/>
      <c r="H106" s="21"/>
      <c r="I106" s="20"/>
      <c r="J106" s="20"/>
      <c r="K106" s="20"/>
      <c r="L106" s="22"/>
      <c r="M106" s="22"/>
      <c r="N106" s="22"/>
      <c r="O106" s="20"/>
      <c r="P106" s="22"/>
      <c r="Q106" s="30"/>
      <c r="R106" s="30"/>
      <c r="S106" s="31"/>
    </row>
    <row r="107" spans="5:19" ht="15.75" customHeight="1">
      <c r="E107" s="20"/>
      <c r="F107" s="20"/>
      <c r="G107" s="29"/>
      <c r="H107" s="21"/>
      <c r="I107" s="20"/>
      <c r="J107" s="20"/>
      <c r="K107" s="20"/>
      <c r="L107" s="22"/>
      <c r="M107" s="22"/>
      <c r="N107" s="22"/>
      <c r="O107" s="20"/>
      <c r="P107" s="22"/>
      <c r="Q107" s="30"/>
      <c r="R107" s="30"/>
      <c r="S107" s="31"/>
    </row>
    <row r="108" spans="5:19" ht="15.75" customHeight="1">
      <c r="E108" s="20"/>
      <c r="F108" s="20"/>
      <c r="G108" s="29"/>
      <c r="H108" s="21"/>
      <c r="I108" s="20"/>
      <c r="J108" s="20"/>
      <c r="K108" s="20"/>
      <c r="L108" s="22"/>
      <c r="M108" s="22"/>
      <c r="N108" s="22"/>
      <c r="O108" s="20"/>
      <c r="P108" s="22"/>
      <c r="Q108" s="30"/>
      <c r="R108" s="30"/>
      <c r="S108" s="31"/>
    </row>
    <row r="109" spans="5:19" ht="15.75" customHeight="1">
      <c r="E109" s="20"/>
      <c r="F109" s="20"/>
      <c r="G109" s="29"/>
      <c r="H109" s="21"/>
      <c r="I109" s="20"/>
      <c r="J109" s="20"/>
      <c r="K109" s="20"/>
      <c r="L109" s="22"/>
      <c r="M109" s="22"/>
      <c r="N109" s="22"/>
      <c r="O109" s="20"/>
      <c r="P109" s="22"/>
      <c r="Q109" s="30"/>
      <c r="R109" s="30"/>
      <c r="S109" s="31"/>
    </row>
    <row r="110" spans="5:19" ht="15.75" customHeight="1">
      <c r="E110" s="20"/>
      <c r="F110" s="20"/>
      <c r="G110" s="29"/>
      <c r="H110" s="21"/>
      <c r="I110" s="20"/>
      <c r="J110" s="20"/>
      <c r="K110" s="20"/>
      <c r="L110" s="22"/>
      <c r="M110" s="22"/>
      <c r="N110" s="22"/>
      <c r="O110" s="20"/>
      <c r="P110" s="22"/>
      <c r="Q110" s="30"/>
      <c r="R110" s="30"/>
      <c r="S110" s="31"/>
    </row>
    <row r="111" spans="5:19" ht="15.75" customHeight="1">
      <c r="E111" s="20"/>
      <c r="F111" s="20"/>
      <c r="G111" s="29"/>
      <c r="H111" s="21"/>
      <c r="I111" s="20"/>
      <c r="J111" s="20"/>
      <c r="K111" s="20"/>
      <c r="L111" s="22"/>
      <c r="M111" s="22"/>
      <c r="N111" s="22"/>
      <c r="O111" s="20"/>
      <c r="P111" s="22"/>
      <c r="Q111" s="30"/>
      <c r="R111" s="30"/>
      <c r="S111" s="31"/>
    </row>
    <row r="112" spans="5:19" ht="15.75" customHeight="1">
      <c r="E112" s="20"/>
      <c r="F112" s="20"/>
      <c r="G112" s="29"/>
      <c r="H112" s="21"/>
      <c r="I112" s="20"/>
      <c r="J112" s="20"/>
      <c r="K112" s="20"/>
      <c r="L112" s="22"/>
      <c r="M112" s="22"/>
      <c r="N112" s="22"/>
      <c r="O112" s="20"/>
      <c r="P112" s="22"/>
      <c r="Q112" s="30"/>
      <c r="R112" s="30"/>
      <c r="S112" s="31"/>
    </row>
    <row r="113" spans="5:19" ht="15.75" customHeight="1">
      <c r="E113" s="20"/>
      <c r="F113" s="20"/>
      <c r="G113" s="29"/>
      <c r="H113" s="21"/>
      <c r="I113" s="20"/>
      <c r="J113" s="20"/>
      <c r="K113" s="20"/>
      <c r="L113" s="22"/>
      <c r="M113" s="22"/>
      <c r="N113" s="22"/>
      <c r="O113" s="20"/>
      <c r="P113" s="22"/>
      <c r="Q113" s="30"/>
      <c r="R113" s="30"/>
      <c r="S113" s="31"/>
    </row>
    <row r="114" spans="5:19" ht="15.75" customHeight="1">
      <c r="E114" s="20"/>
      <c r="F114" s="20"/>
      <c r="G114" s="29"/>
      <c r="H114" s="21"/>
      <c r="I114" s="20"/>
      <c r="J114" s="20"/>
      <c r="K114" s="20"/>
      <c r="L114" s="22"/>
      <c r="M114" s="22"/>
      <c r="N114" s="22"/>
      <c r="O114" s="20"/>
      <c r="P114" s="22"/>
      <c r="Q114" s="30"/>
      <c r="R114" s="30"/>
      <c r="S114" s="31"/>
    </row>
    <row r="115" spans="5:19" ht="15.75" customHeight="1">
      <c r="E115" s="20"/>
      <c r="F115" s="20"/>
      <c r="G115" s="29"/>
      <c r="H115" s="21"/>
      <c r="I115" s="20"/>
      <c r="J115" s="20"/>
      <c r="K115" s="20"/>
      <c r="L115" s="22"/>
      <c r="M115" s="22"/>
      <c r="N115" s="22"/>
      <c r="O115" s="20"/>
      <c r="P115" s="22"/>
      <c r="Q115" s="30"/>
      <c r="R115" s="30"/>
      <c r="S115" s="31"/>
    </row>
    <row r="116" spans="5:19" ht="15.75" customHeight="1">
      <c r="E116" s="20"/>
      <c r="F116" s="20"/>
      <c r="G116" s="29"/>
      <c r="H116" s="21"/>
      <c r="I116" s="20"/>
      <c r="J116" s="20"/>
      <c r="K116" s="20"/>
      <c r="L116" s="22"/>
      <c r="M116" s="22"/>
      <c r="N116" s="22"/>
      <c r="O116" s="20"/>
      <c r="P116" s="22"/>
      <c r="Q116" s="30"/>
      <c r="R116" s="30"/>
      <c r="S116" s="31"/>
    </row>
    <row r="117" spans="5:19" ht="15.75" customHeight="1">
      <c r="E117" s="20"/>
      <c r="F117" s="20"/>
      <c r="G117" s="29"/>
      <c r="H117" s="21"/>
      <c r="I117" s="20"/>
      <c r="J117" s="20"/>
      <c r="K117" s="20"/>
      <c r="L117" s="22"/>
      <c r="M117" s="22"/>
      <c r="N117" s="22"/>
      <c r="O117" s="20"/>
      <c r="P117" s="22"/>
      <c r="Q117" s="30"/>
      <c r="R117" s="30"/>
      <c r="S117" s="31"/>
    </row>
    <row r="118" spans="5:19" ht="15.75" customHeight="1">
      <c r="E118" s="20"/>
      <c r="F118" s="20"/>
      <c r="G118" s="29"/>
      <c r="H118" s="21"/>
      <c r="I118" s="20"/>
      <c r="J118" s="20"/>
      <c r="K118" s="20"/>
      <c r="L118" s="22"/>
      <c r="M118" s="22"/>
      <c r="N118" s="22"/>
      <c r="O118" s="20"/>
      <c r="P118" s="22"/>
      <c r="Q118" s="30"/>
      <c r="R118" s="30"/>
      <c r="S118" s="31"/>
    </row>
    <row r="119" spans="5:19" ht="15.75" customHeight="1">
      <c r="E119" s="20"/>
      <c r="F119" s="20"/>
      <c r="G119" s="29"/>
      <c r="H119" s="21"/>
      <c r="I119" s="20"/>
      <c r="J119" s="20"/>
      <c r="K119" s="20"/>
      <c r="L119" s="22"/>
      <c r="M119" s="22"/>
      <c r="N119" s="22"/>
      <c r="O119" s="20"/>
      <c r="P119" s="22"/>
      <c r="Q119" s="30"/>
      <c r="R119" s="30"/>
      <c r="S119" s="31"/>
    </row>
    <row r="120" spans="5:19" ht="15.75" customHeight="1">
      <c r="E120" s="20"/>
      <c r="F120" s="20"/>
      <c r="G120" s="29"/>
      <c r="H120" s="21"/>
      <c r="I120" s="20"/>
      <c r="J120" s="20"/>
      <c r="K120" s="20"/>
      <c r="L120" s="22"/>
      <c r="M120" s="22"/>
      <c r="N120" s="22"/>
      <c r="O120" s="20"/>
      <c r="P120" s="22"/>
      <c r="Q120" s="30"/>
      <c r="R120" s="30"/>
      <c r="S120" s="31"/>
    </row>
    <row r="121" spans="5:19" ht="15.75" customHeight="1">
      <c r="E121" s="20"/>
      <c r="F121" s="20"/>
      <c r="G121" s="29"/>
      <c r="H121" s="21"/>
      <c r="I121" s="20"/>
      <c r="J121" s="20"/>
      <c r="K121" s="20"/>
      <c r="L121" s="22"/>
      <c r="M121" s="22"/>
      <c r="N121" s="22"/>
      <c r="O121" s="20"/>
      <c r="P121" s="22"/>
      <c r="Q121" s="30"/>
      <c r="R121" s="30"/>
      <c r="S121" s="31"/>
    </row>
    <row r="122" spans="5:19" ht="15.75" customHeight="1">
      <c r="E122" s="20"/>
      <c r="F122" s="20"/>
      <c r="G122" s="29"/>
      <c r="H122" s="21"/>
      <c r="I122" s="20"/>
      <c r="J122" s="20"/>
      <c r="K122" s="20"/>
      <c r="L122" s="22"/>
      <c r="M122" s="22"/>
      <c r="N122" s="22"/>
      <c r="O122" s="20"/>
      <c r="P122" s="22"/>
      <c r="Q122" s="30"/>
      <c r="R122" s="30"/>
      <c r="S122" s="31"/>
    </row>
    <row r="123" spans="5:19" ht="15.75" customHeight="1">
      <c r="E123" s="20"/>
      <c r="F123" s="20"/>
      <c r="G123" s="29"/>
      <c r="H123" s="21"/>
      <c r="I123" s="20"/>
      <c r="J123" s="20"/>
      <c r="K123" s="20"/>
      <c r="L123" s="22"/>
      <c r="M123" s="22"/>
      <c r="N123" s="22"/>
      <c r="O123" s="20"/>
      <c r="P123" s="22"/>
      <c r="Q123" s="30"/>
      <c r="R123" s="30"/>
      <c r="S123" s="31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G126" s="18" t="s">
        <v>78</v>
      </c>
      <c r="H126" s="23">
        <f>SUM(H2:H4)</f>
        <v>2764229985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 t="s">
        <v>79</v>
      </c>
      <c r="H127" s="23">
        <v>654952051.65625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 t="s">
        <v>80</v>
      </c>
      <c r="H128" s="18">
        <f>H127/H126*100</f>
        <v>23.693833552574318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4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4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4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4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4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4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4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4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4:19" ht="15.75" customHeight="1">
      <c r="D137" t="s">
        <v>81</v>
      </c>
      <c r="E137" s="18">
        <f>128.17+17-44</f>
        <v>101.16999999999999</v>
      </c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4:19" ht="15.75" customHeight="1">
      <c r="D138" t="s">
        <v>82</v>
      </c>
      <c r="E138" s="18">
        <v>146.13999999999999</v>
      </c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4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4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4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4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4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4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0"/>
      <c r="B600" s="48"/>
      <c r="C600" s="49"/>
      <c r="D600" s="49"/>
      <c r="E600" s="7"/>
      <c r="F600" s="50"/>
      <c r="G600" s="49"/>
      <c r="H600" s="7"/>
      <c r="J600" s="23"/>
    </row>
    <row r="601" spans="1:19">
      <c r="A601" s="50"/>
      <c r="B601" s="48"/>
      <c r="C601" s="49"/>
      <c r="D601" s="49"/>
      <c r="E601" s="7"/>
      <c r="F601" s="24"/>
      <c r="G601" s="24"/>
      <c r="H601" s="24"/>
      <c r="J601" s="18"/>
    </row>
    <row r="602" spans="1:19">
      <c r="A602" s="24"/>
      <c r="B602" s="24"/>
      <c r="C602" s="24"/>
      <c r="D602" s="24"/>
      <c r="E602" s="24"/>
      <c r="F602" s="24"/>
      <c r="G602" s="32"/>
      <c r="H602" s="32"/>
      <c r="J602" s="18"/>
    </row>
    <row r="603" spans="1:19">
      <c r="A603" s="9"/>
      <c r="B603" s="9"/>
      <c r="C603" s="9"/>
      <c r="D603" s="9"/>
      <c r="E603" s="9"/>
      <c r="F603" s="9"/>
      <c r="G603" s="9"/>
      <c r="H603" s="9"/>
      <c r="J603" s="18"/>
    </row>
    <row r="604" spans="1:19">
      <c r="C604" s="25"/>
      <c r="D604" s="25"/>
      <c r="J604" s="23"/>
    </row>
    <row r="605" spans="1:19">
      <c r="A605" s="50"/>
      <c r="B605" s="48"/>
      <c r="C605" s="49"/>
      <c r="D605" s="49"/>
      <c r="E605" s="7"/>
      <c r="F605" s="50"/>
      <c r="G605" s="49"/>
      <c r="H605" s="7"/>
      <c r="J605" s="18"/>
    </row>
    <row r="606" spans="1:19">
      <c r="A606" s="50"/>
      <c r="B606" s="48"/>
      <c r="C606" s="49"/>
      <c r="D606" s="49"/>
      <c r="E606" s="7"/>
      <c r="F606" s="24"/>
      <c r="G606" s="24"/>
      <c r="H606" s="24"/>
    </row>
    <row r="607" spans="1:19">
      <c r="A607" s="24"/>
      <c r="B607" s="24"/>
      <c r="C607" s="24"/>
      <c r="D607" s="24"/>
      <c r="E607" s="24"/>
      <c r="F607" s="19"/>
      <c r="G607" s="32"/>
      <c r="H607" s="32"/>
      <c r="I607" s="24"/>
      <c r="J607" s="33"/>
    </row>
    <row r="608" spans="1:19">
      <c r="A608" s="9"/>
      <c r="B608" s="9"/>
      <c r="C608" s="9"/>
      <c r="D608" s="9"/>
      <c r="E608" s="9"/>
      <c r="F608" s="9"/>
      <c r="G608" s="9"/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0"/>
      <c r="B610" s="48"/>
      <c r="C610" s="49"/>
      <c r="D610" s="49"/>
      <c r="E610" s="7"/>
      <c r="F610" s="50"/>
      <c r="G610" s="49"/>
      <c r="H610" s="7"/>
    </row>
    <row r="611" spans="1:10">
      <c r="A611" s="50"/>
      <c r="B611" s="48"/>
      <c r="C611" s="49"/>
      <c r="D611" s="49"/>
      <c r="E611" s="7"/>
      <c r="F611" s="24"/>
      <c r="G611" s="24"/>
      <c r="H611" s="24"/>
      <c r="I611" s="48"/>
      <c r="J611" s="49"/>
    </row>
    <row r="612" spans="1:10">
      <c r="A612" s="24"/>
      <c r="B612" s="24"/>
      <c r="C612" s="24"/>
      <c r="D612" s="24"/>
      <c r="E612" s="24"/>
      <c r="F612" s="19"/>
      <c r="G612" s="32"/>
      <c r="H612" s="32"/>
      <c r="I612" s="24"/>
      <c r="J612" s="33"/>
    </row>
    <row r="613" spans="1:10">
      <c r="A613" s="9"/>
      <c r="B613" s="9"/>
      <c r="C613" s="9"/>
      <c r="D613" s="9"/>
      <c r="E613" s="9"/>
      <c r="F613" s="9"/>
      <c r="G613" s="9"/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0"/>
      <c r="B615" s="48"/>
      <c r="C615" s="49"/>
      <c r="D615" s="49"/>
      <c r="E615" s="7"/>
      <c r="F615" s="50"/>
      <c r="G615" s="49"/>
      <c r="H615" s="7"/>
    </row>
    <row r="616" spans="1:10">
      <c r="A616" s="50"/>
      <c r="B616" s="48"/>
      <c r="C616" s="49"/>
      <c r="D616" s="49"/>
      <c r="E616" s="7"/>
      <c r="F616" s="24"/>
      <c r="G616" s="24"/>
      <c r="H616" s="24"/>
      <c r="I616" s="48"/>
      <c r="J616" s="49"/>
    </row>
    <row r="617" spans="1:10">
      <c r="A617" s="24"/>
      <c r="B617" s="24"/>
      <c r="C617" s="24"/>
      <c r="D617" s="24"/>
      <c r="E617" s="24"/>
      <c r="F617" s="19"/>
      <c r="G617" s="32"/>
      <c r="H617" s="32"/>
      <c r="I617" s="24"/>
      <c r="J617" s="33"/>
    </row>
    <row r="618" spans="1:10">
      <c r="A618" s="9"/>
      <c r="B618" s="9"/>
      <c r="C618" s="9"/>
      <c r="D618" s="9"/>
      <c r="E618" s="9"/>
      <c r="F618" s="9"/>
      <c r="G618" s="9"/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0"/>
      <c r="B620" s="48"/>
      <c r="C620" s="49"/>
      <c r="D620" s="49"/>
      <c r="E620" s="7"/>
      <c r="F620" s="50"/>
      <c r="G620" s="49"/>
      <c r="H620" s="7"/>
    </row>
    <row r="621" spans="1:10">
      <c r="A621" s="50"/>
      <c r="B621" s="48"/>
      <c r="C621" s="49"/>
      <c r="D621" s="49"/>
      <c r="E621" s="7"/>
      <c r="F621" s="24"/>
      <c r="G621" s="24"/>
      <c r="H621" s="24"/>
      <c r="I621" s="48"/>
      <c r="J621" s="49"/>
    </row>
    <row r="622" spans="1:10">
      <c r="A622" s="24"/>
      <c r="B622" s="24"/>
      <c r="C622" s="24"/>
      <c r="D622" s="24"/>
      <c r="E622" s="24"/>
      <c r="F622" s="19"/>
      <c r="G622" s="32"/>
      <c r="H622" s="32"/>
      <c r="I622" s="24"/>
      <c r="J622" s="33"/>
    </row>
    <row r="623" spans="1:10">
      <c r="A623" s="9"/>
      <c r="B623" s="9"/>
      <c r="C623" s="9"/>
      <c r="D623" s="9"/>
      <c r="E623" s="9"/>
      <c r="F623" s="9"/>
      <c r="G623" s="9"/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0"/>
      <c r="B625" s="48"/>
      <c r="C625" s="49"/>
      <c r="D625" s="49"/>
      <c r="E625" s="7"/>
      <c r="F625" s="50"/>
      <c r="G625" s="49"/>
      <c r="H625" s="7"/>
    </row>
    <row r="626" spans="1:10">
      <c r="A626" s="50"/>
      <c r="B626" s="48"/>
      <c r="C626" s="49"/>
      <c r="D626" s="49"/>
      <c r="E626" s="7"/>
      <c r="F626" s="24"/>
      <c r="G626" s="24"/>
      <c r="H626" s="24"/>
      <c r="I626" s="48"/>
      <c r="J626" s="49"/>
    </row>
    <row r="627" spans="1:10">
      <c r="A627" s="24"/>
      <c r="B627" s="24"/>
      <c r="C627" s="24"/>
      <c r="D627" s="24"/>
      <c r="E627" s="24"/>
      <c r="F627" s="19"/>
      <c r="G627" s="32"/>
      <c r="H627" s="32"/>
      <c r="I627" s="24"/>
      <c r="J627" s="33"/>
    </row>
    <row r="628" spans="1:10">
      <c r="A628" s="9"/>
      <c r="B628" s="9"/>
      <c r="C628" s="9"/>
      <c r="D628" s="9"/>
      <c r="E628" s="9"/>
      <c r="F628" s="9"/>
      <c r="G628" s="9"/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0"/>
      <c r="B630" s="48"/>
      <c r="C630" s="49"/>
      <c r="D630" s="49"/>
      <c r="E630" s="7"/>
      <c r="F630" s="50"/>
      <c r="G630" s="49"/>
      <c r="H630" s="7"/>
    </row>
    <row r="631" spans="1:10">
      <c r="A631" s="50"/>
      <c r="B631" s="48"/>
      <c r="C631" s="49"/>
      <c r="D631" s="49"/>
      <c r="E631" s="7"/>
      <c r="F631" s="24"/>
      <c r="G631" s="24"/>
      <c r="H631" s="24"/>
      <c r="I631" s="48"/>
      <c r="J631" s="49"/>
    </row>
    <row r="632" spans="1:10">
      <c r="A632" s="24"/>
      <c r="B632" s="24"/>
      <c r="C632" s="24"/>
      <c r="D632" s="24"/>
      <c r="E632" s="24"/>
      <c r="F632" s="19"/>
      <c r="G632" s="32"/>
      <c r="H632" s="32"/>
      <c r="I632" s="24"/>
      <c r="J632" s="33"/>
    </row>
    <row r="633" spans="1:10">
      <c r="A633" s="9"/>
      <c r="B633" s="9"/>
      <c r="C633" s="9"/>
      <c r="D633" s="9"/>
      <c r="E633" s="9"/>
      <c r="F633" s="9"/>
      <c r="G633" s="9"/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0"/>
      <c r="B635" s="48"/>
      <c r="C635" s="49"/>
      <c r="D635" s="49"/>
      <c r="E635" s="7"/>
      <c r="F635" s="50"/>
      <c r="G635" s="49"/>
      <c r="H635" s="7"/>
    </row>
    <row r="636" spans="1:10">
      <c r="A636" s="50"/>
      <c r="B636" s="48"/>
      <c r="C636" s="49"/>
      <c r="D636" s="49"/>
      <c r="E636" s="7"/>
      <c r="F636" s="24"/>
      <c r="G636" s="24"/>
      <c r="H636" s="24"/>
      <c r="I636" s="48"/>
      <c r="J636" s="49"/>
    </row>
    <row r="637" spans="1:10">
      <c r="A637" s="24"/>
      <c r="B637" s="24"/>
      <c r="C637" s="24"/>
      <c r="D637" s="24"/>
      <c r="E637" s="24"/>
      <c r="F637" s="19"/>
      <c r="G637" s="32"/>
      <c r="H637" s="32"/>
      <c r="I637" s="24"/>
      <c r="J637" s="33"/>
    </row>
    <row r="638" spans="1:10">
      <c r="A638" s="9"/>
      <c r="B638" s="9"/>
      <c r="C638" s="9"/>
      <c r="D638" s="9"/>
      <c r="E638" s="9"/>
      <c r="F638" s="9"/>
      <c r="G638" s="9"/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0"/>
      <c r="B640" s="48"/>
      <c r="C640" s="49"/>
      <c r="D640" s="49"/>
      <c r="E640" s="7"/>
      <c r="F640" s="50"/>
      <c r="G640" s="49"/>
      <c r="H640" s="7"/>
    </row>
    <row r="641" spans="1:10">
      <c r="A641" s="50"/>
      <c r="B641" s="48"/>
      <c r="C641" s="49"/>
      <c r="D641" s="49"/>
      <c r="E641" s="7"/>
      <c r="F641" s="24"/>
      <c r="G641" s="24"/>
      <c r="H641" s="24"/>
      <c r="I641" s="48"/>
      <c r="J641" s="49"/>
    </row>
    <row r="642" spans="1:10">
      <c r="A642" s="24"/>
      <c r="B642" s="24"/>
      <c r="C642" s="24"/>
      <c r="D642" s="24"/>
      <c r="E642" s="24"/>
      <c r="F642" s="19"/>
      <c r="G642" s="32"/>
      <c r="H642" s="32"/>
      <c r="I642" s="24"/>
      <c r="J642" s="33"/>
    </row>
    <row r="643" spans="1:10">
      <c r="A643" s="9"/>
      <c r="B643" s="9"/>
      <c r="C643" s="9"/>
      <c r="D643" s="9"/>
      <c r="E643" s="9"/>
      <c r="F643" s="9"/>
      <c r="G643" s="9"/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0"/>
      <c r="B645" s="48"/>
      <c r="C645" s="49"/>
      <c r="D645" s="49"/>
      <c r="E645" s="7"/>
      <c r="F645" s="50"/>
      <c r="G645" s="49"/>
      <c r="H645" s="7"/>
    </row>
    <row r="646" spans="1:10">
      <c r="A646" s="50"/>
      <c r="B646" s="48"/>
      <c r="C646" s="49"/>
      <c r="D646" s="49"/>
      <c r="E646" s="7"/>
      <c r="F646" s="24"/>
      <c r="G646" s="24"/>
      <c r="H646" s="24"/>
      <c r="I646" s="48"/>
      <c r="J646" s="49"/>
    </row>
    <row r="647" spans="1:10">
      <c r="A647" s="24"/>
      <c r="B647" s="24"/>
      <c r="C647" s="24"/>
      <c r="D647" s="24"/>
      <c r="E647" s="24"/>
      <c r="F647" s="19"/>
      <c r="G647" s="32"/>
      <c r="H647" s="32"/>
      <c r="I647" s="24"/>
      <c r="J647" s="33"/>
    </row>
    <row r="648" spans="1:10">
      <c r="A648" s="9"/>
      <c r="B648" s="9"/>
      <c r="C648" s="9"/>
      <c r="D648" s="9"/>
      <c r="E648" s="9"/>
      <c r="F648" s="9"/>
      <c r="G648" s="9"/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9"/>
      <c r="G651" s="9"/>
    </row>
  </sheetData>
  <autoFilter ref="A1:S1" xr:uid="{00000000-0009-0000-0000-000001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I646:J646"/>
    <mergeCell ref="F645:G645"/>
    <mergeCell ref="I631:J631"/>
    <mergeCell ref="A620:D620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outlinePr summaryBelow="0"/>
  </sheetPr>
  <dimension ref="A1:S651"/>
  <sheetViews>
    <sheetView zoomScale="80" zoomScaleNormal="80" workbookViewId="0">
      <pane ySplit="1" topLeftCell="A2" activePane="bottomLeft" state="frozen"/>
      <selection pane="bottomLeft" activeCell="A4" sqref="A4:XFD8"/>
    </sheetView>
  </sheetViews>
  <sheetFormatPr defaultColWidth="9.140625" defaultRowHeight="15"/>
  <cols>
    <col min="1" max="1" width="38.85546875" style="26" bestFit="1" customWidth="1"/>
    <col min="2" max="2" width="10.85546875" style="25" bestFit="1" customWidth="1"/>
    <col min="3" max="3" width="38.85546875" style="26" bestFit="1" customWidth="1"/>
    <col min="4" max="4" width="93.140625" style="26" bestFit="1" customWidth="1"/>
    <col min="5" max="5" width="33.5703125" style="26" bestFit="1" customWidth="1"/>
    <col min="6" max="6" width="29.5703125" style="26" bestFit="1" customWidth="1"/>
    <col min="7" max="7" width="29.1406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customHeight="1">
      <c r="A2" t="str">
        <f t="shared" ref="A2:A26" si="0">C2</f>
        <v>Trastuzumab ADC_2K_loss_deglyc</v>
      </c>
      <c r="B2" s="25">
        <v>1</v>
      </c>
      <c r="C2" t="s">
        <v>19</v>
      </c>
      <c r="D2" t="s">
        <v>20</v>
      </c>
      <c r="E2" s="20">
        <v>147199.17713075201</v>
      </c>
      <c r="F2" s="20">
        <v>147199.42604399999</v>
      </c>
      <c r="G2" s="29">
        <v>1.69099619113194</v>
      </c>
      <c r="H2" s="21">
        <v>1876040960</v>
      </c>
      <c r="I2" s="20">
        <v>100</v>
      </c>
      <c r="J2" s="20">
        <v>44.510719842994199</v>
      </c>
      <c r="K2" s="20">
        <v>142.98307072407499</v>
      </c>
      <c r="L2" s="22">
        <v>40</v>
      </c>
      <c r="M2" s="22" t="s">
        <v>83</v>
      </c>
      <c r="N2" s="22">
        <v>15</v>
      </c>
      <c r="O2" s="20">
        <v>0</v>
      </c>
      <c r="P2" s="22" t="s">
        <v>84</v>
      </c>
      <c r="Q2" s="30">
        <v>14.3527937410667</v>
      </c>
      <c r="R2" s="30">
        <v>16.930450719466702</v>
      </c>
      <c r="S2" s="31">
        <v>15.21</v>
      </c>
    </row>
    <row r="3" spans="1:19" ht="15.75" customHeight="1">
      <c r="A3" t="str">
        <f t="shared" si="0"/>
        <v>Trastuzumab ADC_2K_loss_deglyc</v>
      </c>
      <c r="B3" s="25">
        <v>2</v>
      </c>
      <c r="C3" t="s">
        <v>19</v>
      </c>
      <c r="D3" t="s">
        <v>23</v>
      </c>
      <c r="E3" s="20">
        <v>147961.393092026</v>
      </c>
      <c r="F3" s="20">
        <v>147961.428044</v>
      </c>
      <c r="G3" s="29">
        <v>0.236223605002429</v>
      </c>
      <c r="H3" s="21">
        <v>530574644.875</v>
      </c>
      <c r="I3" s="20">
        <v>28.281612839582099</v>
      </c>
      <c r="J3" s="20">
        <v>12.5883494581067</v>
      </c>
      <c r="K3" s="20">
        <v>126.836964422241</v>
      </c>
      <c r="L3" s="22">
        <v>35</v>
      </c>
      <c r="M3" s="22" t="s">
        <v>85</v>
      </c>
      <c r="N3" s="22">
        <v>15</v>
      </c>
      <c r="O3" s="20">
        <v>762.21596127419605</v>
      </c>
      <c r="P3" s="22" t="s">
        <v>84</v>
      </c>
      <c r="Q3" s="30">
        <v>14.3527937410667</v>
      </c>
      <c r="R3" s="30">
        <v>16.930450719466702</v>
      </c>
      <c r="S3" s="31">
        <v>15.21</v>
      </c>
    </row>
    <row r="4" spans="1:19" s="55" customFormat="1" ht="15.75" customHeight="1">
      <c r="A4" s="55" t="str">
        <f t="shared" si="0"/>
        <v>Trastuzumab ADC_2K_loss_deglyc_A2G0F</v>
      </c>
      <c r="B4" s="56">
        <v>1</v>
      </c>
      <c r="C4" s="55" t="s">
        <v>25</v>
      </c>
      <c r="D4" s="55" t="s">
        <v>20</v>
      </c>
      <c r="E4" s="57">
        <v>148643.071953401</v>
      </c>
      <c r="F4" s="57">
        <v>148643.746044</v>
      </c>
      <c r="G4" s="58">
        <f>ABS(E4-F4)/F4*1000000</f>
        <v>4.5349408699736493</v>
      </c>
      <c r="H4" s="59">
        <v>406346631</v>
      </c>
      <c r="I4" s="57">
        <v>21.659795631514299</v>
      </c>
      <c r="J4" s="57">
        <v>9.6409309521084392</v>
      </c>
      <c r="K4" s="57">
        <v>89.063790809268198</v>
      </c>
      <c r="L4" s="60">
        <v>32</v>
      </c>
      <c r="M4" s="60" t="s">
        <v>86</v>
      </c>
      <c r="N4" s="60">
        <v>15</v>
      </c>
      <c r="O4" s="57">
        <v>1443.89482264905</v>
      </c>
      <c r="P4" s="60" t="s">
        <v>84</v>
      </c>
      <c r="Q4" s="61">
        <v>14.3527937410667</v>
      </c>
      <c r="R4" s="61">
        <v>16.930450719466702</v>
      </c>
      <c r="S4" s="62">
        <v>15.21</v>
      </c>
    </row>
    <row r="5" spans="1:19" s="55" customFormat="1" ht="15.75" customHeight="1">
      <c r="A5" s="55" t="str">
        <f t="shared" si="0"/>
        <v>Trastuzumab ADC_2K_loss_deglyc</v>
      </c>
      <c r="B5" s="56">
        <v>0</v>
      </c>
      <c r="C5" s="55" t="s">
        <v>19</v>
      </c>
      <c r="D5" s="55" t="s">
        <v>27</v>
      </c>
      <c r="E5" s="57">
        <v>146438.143221059</v>
      </c>
      <c r="F5" s="57">
        <v>146437.42404400001</v>
      </c>
      <c r="G5" s="58">
        <v>4.9111320530093696</v>
      </c>
      <c r="H5" s="59">
        <v>385108033.5</v>
      </c>
      <c r="I5" s="57">
        <v>20.5276982184769</v>
      </c>
      <c r="J5" s="57">
        <v>9.1370262442415697</v>
      </c>
      <c r="K5" s="57">
        <v>103.014708669577</v>
      </c>
      <c r="L5" s="60">
        <v>32</v>
      </c>
      <c r="M5" s="60" t="s">
        <v>87</v>
      </c>
      <c r="N5" s="60">
        <v>15</v>
      </c>
      <c r="O5" s="57">
        <v>-761.03390969315706</v>
      </c>
      <c r="P5" s="60" t="s">
        <v>84</v>
      </c>
      <c r="Q5" s="61">
        <v>14.3527937410667</v>
      </c>
      <c r="R5" s="61">
        <v>16.930450719466702</v>
      </c>
      <c r="S5" s="62">
        <v>15.21</v>
      </c>
    </row>
    <row r="6" spans="1:19" s="55" customFormat="1" ht="15.75" customHeight="1">
      <c r="A6" s="55" t="str">
        <f t="shared" si="0"/>
        <v>Trastuzumab ADC_2K_loss_deglyc_A2G1F</v>
      </c>
      <c r="B6" s="56">
        <v>1</v>
      </c>
      <c r="C6" s="55" t="s">
        <v>29</v>
      </c>
      <c r="D6" s="55" t="s">
        <v>20</v>
      </c>
      <c r="E6" s="57">
        <v>148805.67672959701</v>
      </c>
      <c r="F6" s="57">
        <v>148806.92054399999</v>
      </c>
      <c r="G6" s="58">
        <f>ABS(E6-F6)/F6*1000000</f>
        <v>8.3585790125917203</v>
      </c>
      <c r="H6" s="59">
        <v>310116905.5</v>
      </c>
      <c r="I6" s="57">
        <v>16.530391249670799</v>
      </c>
      <c r="J6" s="57">
        <v>7.3577961380918104</v>
      </c>
      <c r="K6" s="57">
        <v>83.443068132662901</v>
      </c>
      <c r="L6" s="60">
        <v>27</v>
      </c>
      <c r="M6" s="60" t="s">
        <v>88</v>
      </c>
      <c r="N6" s="60">
        <v>15</v>
      </c>
      <c r="O6" s="57">
        <v>1606.4995988447899</v>
      </c>
      <c r="P6" s="60" t="s">
        <v>84</v>
      </c>
      <c r="Q6" s="61">
        <v>14.3527937410667</v>
      </c>
      <c r="R6" s="61">
        <v>16.930450719466702</v>
      </c>
      <c r="S6" s="62">
        <v>15.21</v>
      </c>
    </row>
    <row r="7" spans="1:19" s="55" customFormat="1" ht="15.75" customHeight="1">
      <c r="A7" s="55" t="str">
        <f t="shared" si="0"/>
        <v>Trastuzumab ADC_2K_loss_deglyc_A2G0F</v>
      </c>
      <c r="B7" s="56">
        <v>2</v>
      </c>
      <c r="C7" s="55" t="s">
        <v>25</v>
      </c>
      <c r="D7" s="55" t="s">
        <v>23</v>
      </c>
      <c r="E7" s="57">
        <v>149404.516225484</v>
      </c>
      <c r="F7" s="57">
        <v>149405.77804400001</v>
      </c>
      <c r="G7" s="58">
        <f>ABS(E7-F7)/F7*1000000</f>
        <v>8.4455804355728947</v>
      </c>
      <c r="H7" s="59">
        <v>101688713.5</v>
      </c>
      <c r="I7" s="57">
        <v>5.4203887143075598</v>
      </c>
      <c r="J7" s="57">
        <v>2.4126540350267098</v>
      </c>
      <c r="K7" s="57">
        <v>64.623639509799304</v>
      </c>
      <c r="L7" s="60">
        <v>25</v>
      </c>
      <c r="M7" s="60" t="s">
        <v>89</v>
      </c>
      <c r="N7" s="60">
        <v>11</v>
      </c>
      <c r="O7" s="57">
        <v>2205.3390947319899</v>
      </c>
      <c r="P7" s="60" t="s">
        <v>90</v>
      </c>
      <c r="Q7" s="61">
        <v>14.5072735669333</v>
      </c>
      <c r="R7" s="61">
        <v>16.487050313333299</v>
      </c>
      <c r="S7" s="62">
        <v>15.21</v>
      </c>
    </row>
    <row r="8" spans="1:19" s="55" customFormat="1" ht="15.75" customHeight="1">
      <c r="A8" s="55" t="str">
        <f t="shared" si="0"/>
        <v>Trastuzumab ADC_2K_loss_deglyc_A2G1F</v>
      </c>
      <c r="B8" s="56">
        <v>2</v>
      </c>
      <c r="C8" s="55" t="s">
        <v>29</v>
      </c>
      <c r="D8" s="55" t="s">
        <v>23</v>
      </c>
      <c r="E8" s="57">
        <v>149565.38137244101</v>
      </c>
      <c r="F8" s="57">
        <v>149568.922544</v>
      </c>
      <c r="G8" s="58">
        <f>ABS(E8-F8)/F8*1000000</f>
        <v>23.675851231363779</v>
      </c>
      <c r="H8" s="59">
        <v>93632757.4375</v>
      </c>
      <c r="I8" s="57">
        <v>4.9909760651034496</v>
      </c>
      <c r="J8" s="57">
        <v>2.2215193737690999</v>
      </c>
      <c r="K8" s="57">
        <v>62.2565046205345</v>
      </c>
      <c r="L8" s="60">
        <v>19</v>
      </c>
      <c r="M8" s="60" t="s">
        <v>91</v>
      </c>
      <c r="N8" s="60">
        <v>13</v>
      </c>
      <c r="O8" s="57">
        <v>2366.2042416887398</v>
      </c>
      <c r="P8" s="60" t="s">
        <v>92</v>
      </c>
      <c r="Q8" s="61">
        <v>14.3527937410667</v>
      </c>
      <c r="R8" s="61">
        <v>16.780246691999999</v>
      </c>
      <c r="S8" s="62">
        <v>15.21</v>
      </c>
    </row>
    <row r="9" spans="1:19" ht="15.75" customHeight="1">
      <c r="A9">
        <f t="shared" si="0"/>
        <v>0</v>
      </c>
      <c r="E9" s="20">
        <v>150249.24724078301</v>
      </c>
      <c r="F9" s="20">
        <v>0</v>
      </c>
      <c r="G9" s="29">
        <v>0</v>
      </c>
      <c r="H9" s="21">
        <v>65705851.125</v>
      </c>
      <c r="I9" s="20">
        <v>3.5023676199835898</v>
      </c>
      <c r="J9" s="20">
        <v>1.55892903920264</v>
      </c>
      <c r="K9" s="20">
        <v>43.795814363457303</v>
      </c>
      <c r="L9" s="22">
        <v>10</v>
      </c>
      <c r="M9" s="22" t="s">
        <v>93</v>
      </c>
      <c r="N9" s="22">
        <v>11</v>
      </c>
      <c r="O9" s="20">
        <v>3050.0701100305901</v>
      </c>
      <c r="P9" s="22" t="s">
        <v>94</v>
      </c>
      <c r="Q9" s="30">
        <v>14.3527937410667</v>
      </c>
      <c r="R9" s="30">
        <v>16.350554964533298</v>
      </c>
      <c r="S9" s="31">
        <v>15.21</v>
      </c>
    </row>
    <row r="10" spans="1:19" ht="15.75" customHeight="1">
      <c r="A10" t="str">
        <f t="shared" si="0"/>
        <v>Trastuzumab ADC_2K_loss_deglyc</v>
      </c>
      <c r="B10" s="25">
        <v>0</v>
      </c>
      <c r="C10" t="s">
        <v>19</v>
      </c>
      <c r="D10" t="s">
        <v>36</v>
      </c>
      <c r="E10" s="20">
        <v>147091.00158182401</v>
      </c>
      <c r="F10" s="20">
        <v>147084.24704399999</v>
      </c>
      <c r="G10" s="29">
        <v>45.920809234336502</v>
      </c>
      <c r="H10" s="21">
        <v>54910390.25</v>
      </c>
      <c r="I10" s="20">
        <v>2.9269291608997299</v>
      </c>
      <c r="J10" s="20">
        <v>1.3027972388109801</v>
      </c>
      <c r="K10" s="20">
        <v>67.9638557756751</v>
      </c>
      <c r="L10" s="22">
        <v>28</v>
      </c>
      <c r="M10" s="22" t="s">
        <v>95</v>
      </c>
      <c r="N10" s="22">
        <v>11</v>
      </c>
      <c r="O10" s="20">
        <v>-108.175548928382</v>
      </c>
      <c r="P10" s="22" t="s">
        <v>96</v>
      </c>
      <c r="Q10" s="30">
        <v>14.645872186666701</v>
      </c>
      <c r="R10" s="30">
        <v>16.636001805599999</v>
      </c>
      <c r="S10" s="31">
        <v>15.35</v>
      </c>
    </row>
    <row r="11" spans="1:19" ht="15.75" customHeight="1">
      <c r="A11" t="str">
        <f t="shared" si="0"/>
        <v>Trastuzumab ADC_2K_loss_deglyc</v>
      </c>
      <c r="B11" s="25">
        <v>0</v>
      </c>
      <c r="C11" t="s">
        <v>19</v>
      </c>
      <c r="D11" t="s">
        <v>41</v>
      </c>
      <c r="E11" s="20">
        <v>146330.16496989399</v>
      </c>
      <c r="F11" s="20">
        <v>146342.360044</v>
      </c>
      <c r="G11" s="29">
        <v>83.339440700002399</v>
      </c>
      <c r="H11" s="21">
        <v>52958662.03125</v>
      </c>
      <c r="I11" s="20">
        <v>2.82289470341584</v>
      </c>
      <c r="J11" s="20">
        <v>1.2564907529001501</v>
      </c>
      <c r="K11" s="20">
        <v>67.542698613124202</v>
      </c>
      <c r="L11" s="22">
        <v>21</v>
      </c>
      <c r="M11" s="22" t="s">
        <v>97</v>
      </c>
      <c r="N11" s="22">
        <v>13</v>
      </c>
      <c r="O11" s="20">
        <v>-869.01216085825604</v>
      </c>
      <c r="P11" s="22" t="s">
        <v>98</v>
      </c>
      <c r="Q11" s="30">
        <v>14.5072735669333</v>
      </c>
      <c r="R11" s="30">
        <v>16.780246691999999</v>
      </c>
      <c r="S11" s="31">
        <v>15.21</v>
      </c>
    </row>
    <row r="12" spans="1:19" ht="15.75" customHeight="1">
      <c r="A12">
        <f t="shared" si="0"/>
        <v>0</v>
      </c>
      <c r="E12" s="20">
        <v>150409.18809605599</v>
      </c>
      <c r="F12" s="20">
        <v>0</v>
      </c>
      <c r="G12" s="29">
        <v>0</v>
      </c>
      <c r="H12" s="21">
        <v>50638709.125</v>
      </c>
      <c r="I12" s="20">
        <v>2.6992325980982601</v>
      </c>
      <c r="J12" s="20">
        <v>1.20144785965029</v>
      </c>
      <c r="K12" s="20">
        <v>43.517720210688402</v>
      </c>
      <c r="L12" s="22">
        <v>13</v>
      </c>
      <c r="M12" s="22" t="s">
        <v>47</v>
      </c>
      <c r="N12" s="22">
        <v>10</v>
      </c>
      <c r="O12" s="20">
        <v>3210.0109653038098</v>
      </c>
      <c r="P12" s="22" t="s">
        <v>94</v>
      </c>
      <c r="Q12" s="30">
        <v>14.3527937410667</v>
      </c>
      <c r="R12" s="30">
        <v>16.350554964533298</v>
      </c>
      <c r="S12" s="31">
        <v>15.35</v>
      </c>
    </row>
    <row r="13" spans="1:19" ht="15.75" customHeight="1">
      <c r="A13">
        <f t="shared" si="0"/>
        <v>0</v>
      </c>
      <c r="E13" s="20">
        <v>147881.173932587</v>
      </c>
      <c r="F13" s="20">
        <v>0</v>
      </c>
      <c r="G13" s="29">
        <v>0</v>
      </c>
      <c r="H13" s="21">
        <v>45457311.125</v>
      </c>
      <c r="I13" s="20">
        <v>2.4230447082156901</v>
      </c>
      <c r="J13" s="20">
        <v>1.0785146417443801</v>
      </c>
      <c r="K13" s="20">
        <v>49.468849679773001</v>
      </c>
      <c r="L13" s="22">
        <v>24</v>
      </c>
      <c r="M13" s="22" t="s">
        <v>99</v>
      </c>
      <c r="N13" s="22">
        <v>11</v>
      </c>
      <c r="O13" s="20">
        <v>681.996801834699</v>
      </c>
      <c r="P13" s="22" t="s">
        <v>100</v>
      </c>
      <c r="Q13" s="30">
        <v>14.3527937410667</v>
      </c>
      <c r="R13" s="30">
        <v>16.487050313333299</v>
      </c>
      <c r="S13" s="31">
        <v>15.21</v>
      </c>
    </row>
    <row r="14" spans="1:19" ht="15.75" customHeight="1">
      <c r="A14">
        <f t="shared" si="0"/>
        <v>0</v>
      </c>
      <c r="E14" s="20">
        <v>148056.792698843</v>
      </c>
      <c r="F14" s="20">
        <v>0</v>
      </c>
      <c r="G14" s="29">
        <v>0</v>
      </c>
      <c r="H14" s="21">
        <v>42988007.8125</v>
      </c>
      <c r="I14" s="20">
        <v>2.2914215852904198</v>
      </c>
      <c r="J14" s="20">
        <v>1.01992824225052</v>
      </c>
      <c r="K14" s="20">
        <v>49.346066842347</v>
      </c>
      <c r="L14" s="22">
        <v>25</v>
      </c>
      <c r="M14" s="22" t="s">
        <v>89</v>
      </c>
      <c r="N14" s="22">
        <v>11</v>
      </c>
      <c r="O14" s="20">
        <v>857.61556809049205</v>
      </c>
      <c r="P14" s="22" t="s">
        <v>90</v>
      </c>
      <c r="Q14" s="30">
        <v>14.5072735669333</v>
      </c>
      <c r="R14" s="30">
        <v>16.487050313333299</v>
      </c>
      <c r="S14" s="31">
        <v>15.35</v>
      </c>
    </row>
    <row r="15" spans="1:19" ht="15.75" customHeight="1">
      <c r="A15">
        <f t="shared" si="0"/>
        <v>0</v>
      </c>
      <c r="E15" s="20">
        <v>148967.50053284899</v>
      </c>
      <c r="F15" s="20">
        <v>0</v>
      </c>
      <c r="G15" s="29">
        <v>0</v>
      </c>
      <c r="H15" s="21">
        <v>42012028.75</v>
      </c>
      <c r="I15" s="20">
        <v>2.23939829064531</v>
      </c>
      <c r="J15" s="20">
        <v>0.99677229931793399</v>
      </c>
      <c r="K15" s="20">
        <v>45.675037240609299</v>
      </c>
      <c r="L15" s="22">
        <v>13</v>
      </c>
      <c r="M15" s="22" t="s">
        <v>47</v>
      </c>
      <c r="N15" s="22">
        <v>8</v>
      </c>
      <c r="O15" s="20">
        <v>1768.3234020965499</v>
      </c>
      <c r="P15" s="22" t="s">
        <v>101</v>
      </c>
      <c r="Q15" s="30">
        <v>14.3527937410667</v>
      </c>
      <c r="R15" s="30">
        <v>15.9223981637333</v>
      </c>
      <c r="S15" s="31">
        <v>15.21</v>
      </c>
    </row>
    <row r="16" spans="1:19" ht="15.75" customHeight="1">
      <c r="A16">
        <f t="shared" si="0"/>
        <v>0</v>
      </c>
      <c r="E16" s="20">
        <v>148432.60377110899</v>
      </c>
      <c r="F16" s="20">
        <v>0</v>
      </c>
      <c r="G16" s="29">
        <v>0</v>
      </c>
      <c r="H16" s="21">
        <v>32556161.25</v>
      </c>
      <c r="I16" s="20">
        <v>1.73536516206548</v>
      </c>
      <c r="J16" s="20">
        <v>0.77242352553988702</v>
      </c>
      <c r="K16" s="20">
        <v>42.5608340169955</v>
      </c>
      <c r="L16" s="22">
        <v>11</v>
      </c>
      <c r="M16" s="22" t="s">
        <v>102</v>
      </c>
      <c r="N16" s="22">
        <v>9</v>
      </c>
      <c r="O16" s="20">
        <v>1233.4266403567201</v>
      </c>
      <c r="P16" s="22" t="s">
        <v>103</v>
      </c>
      <c r="Q16" s="30">
        <v>14.5072735669333</v>
      </c>
      <c r="R16" s="30">
        <v>16.350554964533298</v>
      </c>
      <c r="S16" s="31">
        <v>15.21</v>
      </c>
    </row>
    <row r="17" spans="1:19" ht="15.75" customHeight="1">
      <c r="A17">
        <f t="shared" si="0"/>
        <v>0</v>
      </c>
      <c r="E17" s="20">
        <v>148525.10431905801</v>
      </c>
      <c r="F17" s="20">
        <v>0</v>
      </c>
      <c r="G17" s="29">
        <v>0</v>
      </c>
      <c r="H17" s="21">
        <v>29833158.1875</v>
      </c>
      <c r="I17" s="20">
        <v>1.59021889544446</v>
      </c>
      <c r="J17" s="20">
        <v>0.70781787744163904</v>
      </c>
      <c r="K17" s="20">
        <v>39.684257373525597</v>
      </c>
      <c r="L17" s="22">
        <v>17</v>
      </c>
      <c r="M17" s="22" t="s">
        <v>104</v>
      </c>
      <c r="N17" s="22">
        <v>11</v>
      </c>
      <c r="O17" s="20">
        <v>1325.92718830533</v>
      </c>
      <c r="P17" s="22" t="s">
        <v>90</v>
      </c>
      <c r="Q17" s="30">
        <v>14.5072735669333</v>
      </c>
      <c r="R17" s="30">
        <v>16.487050313333299</v>
      </c>
      <c r="S17" s="31">
        <v>15.21</v>
      </c>
    </row>
    <row r="18" spans="1:19" ht="15.75" customHeight="1">
      <c r="A18">
        <f t="shared" si="0"/>
        <v>0</v>
      </c>
      <c r="E18" s="20">
        <v>159249.638072887</v>
      </c>
      <c r="F18" s="20">
        <v>0</v>
      </c>
      <c r="G18" s="29">
        <v>0</v>
      </c>
      <c r="H18" s="21">
        <v>26216143</v>
      </c>
      <c r="I18" s="20">
        <v>1.3974184870589701</v>
      </c>
      <c r="J18" s="20">
        <v>0.622001027809025</v>
      </c>
      <c r="K18" s="20">
        <v>36.8676718652912</v>
      </c>
      <c r="L18" s="22">
        <v>10</v>
      </c>
      <c r="M18" s="22" t="s">
        <v>49</v>
      </c>
      <c r="N18" s="22">
        <v>5</v>
      </c>
      <c r="O18" s="20">
        <v>12050.460942134499</v>
      </c>
      <c r="P18" s="22" t="s">
        <v>105</v>
      </c>
      <c r="Q18" s="30">
        <v>14.645872186666701</v>
      </c>
      <c r="R18" s="30">
        <v>15.9223981637333</v>
      </c>
      <c r="S18" s="31">
        <v>15.21</v>
      </c>
    </row>
    <row r="19" spans="1:19" ht="15.75" customHeight="1">
      <c r="A19">
        <f t="shared" si="0"/>
        <v>0</v>
      </c>
      <c r="E19" s="20">
        <v>75044.171092533099</v>
      </c>
      <c r="F19" s="20">
        <v>0</v>
      </c>
      <c r="G19" s="29">
        <v>0</v>
      </c>
      <c r="H19" s="21">
        <v>16939845.46875</v>
      </c>
      <c r="I19" s="20">
        <v>0.90295713569444302</v>
      </c>
      <c r="J19" s="20">
        <v>0.401912720971279</v>
      </c>
      <c r="K19" s="20">
        <v>18.385573929794301</v>
      </c>
      <c r="L19" s="22">
        <v>12</v>
      </c>
      <c r="M19" s="22" t="s">
        <v>106</v>
      </c>
      <c r="N19" s="22">
        <v>8</v>
      </c>
      <c r="O19" s="20">
        <v>-72155.0060382191</v>
      </c>
      <c r="P19" s="22" t="s">
        <v>107</v>
      </c>
      <c r="Q19" s="30">
        <v>14.7816132125333</v>
      </c>
      <c r="R19" s="30">
        <v>16.487050313333299</v>
      </c>
      <c r="S19" s="31">
        <v>15.35</v>
      </c>
    </row>
    <row r="20" spans="1:19" ht="15.75" customHeight="1">
      <c r="A20">
        <f t="shared" si="0"/>
        <v>0</v>
      </c>
      <c r="E20" s="20">
        <v>141102.95006188701</v>
      </c>
      <c r="F20" s="20">
        <v>0</v>
      </c>
      <c r="G20" s="29">
        <v>0</v>
      </c>
      <c r="H20" s="21">
        <v>15707683.125</v>
      </c>
      <c r="I20" s="20">
        <v>0.83727825055970395</v>
      </c>
      <c r="J20" s="20">
        <v>0.37267857641295299</v>
      </c>
      <c r="K20" s="20">
        <v>20.885717209050402</v>
      </c>
      <c r="L20" s="22">
        <v>10</v>
      </c>
      <c r="M20" s="22" t="s">
        <v>108</v>
      </c>
      <c r="N20" s="22">
        <v>7</v>
      </c>
      <c r="O20" s="20">
        <v>-6096.2270688647704</v>
      </c>
      <c r="P20" s="22" t="s">
        <v>109</v>
      </c>
      <c r="Q20" s="30">
        <v>14.7816132125333</v>
      </c>
      <c r="R20" s="30">
        <v>16.2069424984</v>
      </c>
      <c r="S20" s="31">
        <v>15.35</v>
      </c>
    </row>
    <row r="21" spans="1:19" ht="15.75" customHeight="1">
      <c r="A21">
        <f t="shared" si="0"/>
        <v>0</v>
      </c>
      <c r="E21" s="20">
        <v>134224.58345454</v>
      </c>
      <c r="F21" s="20">
        <v>0</v>
      </c>
      <c r="G21" s="29">
        <v>0</v>
      </c>
      <c r="H21" s="21">
        <v>13426042.1875</v>
      </c>
      <c r="I21" s="20">
        <v>0.71565826754080497</v>
      </c>
      <c r="J21" s="20">
        <v>0.31854464649831399</v>
      </c>
      <c r="K21" s="20">
        <v>21.0690311642003</v>
      </c>
      <c r="L21" s="22">
        <v>10</v>
      </c>
      <c r="M21" s="22" t="s">
        <v>110</v>
      </c>
      <c r="N21" s="22">
        <v>6</v>
      </c>
      <c r="O21" s="20">
        <v>-12974.5936762124</v>
      </c>
      <c r="P21" s="22" t="s">
        <v>111</v>
      </c>
      <c r="Q21" s="30">
        <v>14.5072735669333</v>
      </c>
      <c r="R21" s="30">
        <v>16.2069424984</v>
      </c>
      <c r="S21" s="31">
        <v>15.21</v>
      </c>
    </row>
    <row r="22" spans="1:19" ht="15.75" customHeight="1">
      <c r="A22">
        <f t="shared" si="0"/>
        <v>0</v>
      </c>
      <c r="E22" s="20">
        <v>61334.339843341302</v>
      </c>
      <c r="F22" s="20">
        <v>0</v>
      </c>
      <c r="G22" s="29">
        <v>0</v>
      </c>
      <c r="H22" s="21">
        <v>6922978.5</v>
      </c>
      <c r="I22" s="20">
        <v>0.369020645064014</v>
      </c>
      <c r="J22" s="20">
        <v>0.16425374548725299</v>
      </c>
      <c r="K22" s="20">
        <v>14.909184730837399</v>
      </c>
      <c r="L22" s="22">
        <v>7</v>
      </c>
      <c r="M22" s="22" t="s">
        <v>112</v>
      </c>
      <c r="N22" s="22">
        <v>3</v>
      </c>
      <c r="O22" s="20">
        <v>-85864.837287410905</v>
      </c>
      <c r="P22" s="22" t="s">
        <v>113</v>
      </c>
      <c r="Q22" s="30">
        <v>14.645872186666701</v>
      </c>
      <c r="R22" s="30">
        <v>15.4977472573333</v>
      </c>
      <c r="S22" s="31">
        <v>15.07</v>
      </c>
    </row>
    <row r="23" spans="1:19" ht="15.75" customHeight="1">
      <c r="A23">
        <f t="shared" si="0"/>
        <v>0</v>
      </c>
      <c r="E23" s="20">
        <v>71138.214603639703</v>
      </c>
      <c r="F23" s="20">
        <v>0</v>
      </c>
      <c r="G23" s="29">
        <v>0</v>
      </c>
      <c r="H23" s="21">
        <v>4731459.25</v>
      </c>
      <c r="I23" s="20">
        <v>0.25220446767827298</v>
      </c>
      <c r="J23" s="20">
        <v>0.112258024039791</v>
      </c>
      <c r="K23" s="20">
        <v>10.782615774104</v>
      </c>
      <c r="L23" s="22">
        <v>7</v>
      </c>
      <c r="M23" s="22" t="s">
        <v>53</v>
      </c>
      <c r="N23" s="22">
        <v>3</v>
      </c>
      <c r="O23" s="20">
        <v>-76060.962527112497</v>
      </c>
      <c r="P23" s="22" t="s">
        <v>114</v>
      </c>
      <c r="Q23" s="30">
        <v>14.7816132125333</v>
      </c>
      <c r="R23" s="30">
        <v>15.638555182133301</v>
      </c>
      <c r="S23" s="31">
        <v>15.21</v>
      </c>
    </row>
    <row r="24" spans="1:19" ht="15.75" customHeight="1">
      <c r="A24" t="str">
        <f t="shared" si="0"/>
        <v>Trastuzumab ADC_1K_loss_deglyc</v>
      </c>
      <c r="B24" s="25">
        <v>0</v>
      </c>
      <c r="C24" t="s">
        <v>61</v>
      </c>
      <c r="D24" t="s">
        <v>62</v>
      </c>
      <c r="E24" s="20">
        <v>147304.91057969199</v>
      </c>
      <c r="F24" s="20">
        <v>147299.49804400001</v>
      </c>
      <c r="G24" s="29">
        <v>36.743755996920001</v>
      </c>
      <c r="H24" s="21">
        <v>4692071</v>
      </c>
      <c r="I24" s="20">
        <v>0.250104937771917</v>
      </c>
      <c r="J24" s="20">
        <v>0.111323508165153</v>
      </c>
      <c r="K24" s="20">
        <v>32.139500772889498</v>
      </c>
      <c r="L24" s="22">
        <v>15</v>
      </c>
      <c r="M24" s="22" t="s">
        <v>115</v>
      </c>
      <c r="N24" s="22">
        <v>3</v>
      </c>
      <c r="O24" s="20">
        <v>105.733448939369</v>
      </c>
      <c r="P24" s="22" t="s">
        <v>116</v>
      </c>
      <c r="Q24" s="30">
        <v>15.20813658</v>
      </c>
      <c r="R24" s="30">
        <v>16.2069424984</v>
      </c>
      <c r="S24" s="31">
        <v>15.78</v>
      </c>
    </row>
    <row r="25" spans="1:19" ht="15.75" customHeight="1">
      <c r="A25">
        <f t="shared" si="0"/>
        <v>0</v>
      </c>
      <c r="E25" s="20">
        <v>125079.519015233</v>
      </c>
      <c r="F25" s="20">
        <v>0</v>
      </c>
      <c r="G25" s="29">
        <v>0</v>
      </c>
      <c r="H25" s="21">
        <v>3150285.125</v>
      </c>
      <c r="I25" s="20">
        <v>0.16792198660764199</v>
      </c>
      <c r="J25" s="20">
        <v>7.4743285013717797E-2</v>
      </c>
      <c r="K25" s="20">
        <v>15.7471625635268</v>
      </c>
      <c r="L25" s="22">
        <v>13</v>
      </c>
      <c r="M25" s="22" t="s">
        <v>117</v>
      </c>
      <c r="N25" s="22">
        <v>4</v>
      </c>
      <c r="O25" s="20">
        <v>-22119.658115519698</v>
      </c>
      <c r="P25" s="22" t="s">
        <v>118</v>
      </c>
      <c r="Q25" s="30">
        <v>15.0665451536</v>
      </c>
      <c r="R25" s="30">
        <v>16.350554964533298</v>
      </c>
      <c r="S25" s="31">
        <v>15.64</v>
      </c>
    </row>
    <row r="26" spans="1:19" ht="15.75" customHeight="1">
      <c r="A26">
        <f t="shared" si="0"/>
        <v>0</v>
      </c>
      <c r="E26" s="20">
        <v>107205.968542427</v>
      </c>
      <c r="F26" s="20">
        <v>0</v>
      </c>
      <c r="G26" s="29">
        <v>0</v>
      </c>
      <c r="H26" s="21">
        <v>2451624.46875</v>
      </c>
      <c r="I26" s="20">
        <v>0.13068075423338099</v>
      </c>
      <c r="J26" s="20">
        <v>5.8166944405532002E-2</v>
      </c>
      <c r="K26" s="20">
        <v>18.2340464346101</v>
      </c>
      <c r="L26" s="22">
        <v>11</v>
      </c>
      <c r="M26" s="22" t="s">
        <v>119</v>
      </c>
      <c r="N26" s="22">
        <v>3</v>
      </c>
      <c r="O26" s="20">
        <v>-39993.208588324997</v>
      </c>
      <c r="P26" s="22" t="s">
        <v>120</v>
      </c>
      <c r="Q26" s="30">
        <v>15.348475372799999</v>
      </c>
      <c r="R26" s="30">
        <v>16.636001805599999</v>
      </c>
      <c r="S26" s="31">
        <v>15.64</v>
      </c>
    </row>
    <row r="27" spans="1:19" ht="15.75" customHeight="1">
      <c r="E27" s="20"/>
      <c r="F27" s="20"/>
      <c r="G27" s="29"/>
      <c r="H27" s="21"/>
      <c r="I27" s="20"/>
      <c r="J27" s="20"/>
      <c r="K27" s="20"/>
      <c r="L27" s="22"/>
      <c r="M27" s="22"/>
      <c r="N27" s="22"/>
      <c r="O27" s="20"/>
      <c r="P27" s="22"/>
      <c r="Q27" s="30"/>
      <c r="R27" s="30"/>
      <c r="S27" s="31"/>
    </row>
    <row r="28" spans="1:19" ht="15.75" customHeight="1">
      <c r="E28" s="20"/>
      <c r="F28" s="20"/>
      <c r="G28" s="29"/>
      <c r="H28" s="21"/>
      <c r="I28" s="20"/>
      <c r="J28" s="20"/>
      <c r="K28" s="20"/>
      <c r="L28" s="22"/>
      <c r="M28" s="22"/>
      <c r="N28" s="22"/>
      <c r="O28" s="20"/>
      <c r="P28" s="22"/>
      <c r="Q28" s="30"/>
      <c r="R28" s="30"/>
      <c r="S28" s="31"/>
    </row>
    <row r="29" spans="1:19" ht="15.75" customHeight="1">
      <c r="E29" s="20"/>
      <c r="F29" s="20"/>
      <c r="G29" s="29"/>
      <c r="H29" s="21"/>
      <c r="I29" s="20"/>
      <c r="J29" s="20"/>
      <c r="K29" s="20"/>
      <c r="L29" s="22"/>
      <c r="M29" s="22"/>
      <c r="N29" s="22"/>
      <c r="O29" s="20"/>
      <c r="P29" s="22"/>
      <c r="Q29" s="30"/>
      <c r="R29" s="30"/>
      <c r="S29" s="31"/>
    </row>
    <row r="30" spans="1:19" ht="15.75" customHeight="1">
      <c r="E30" s="20"/>
      <c r="F30" s="20"/>
      <c r="G30" s="29"/>
      <c r="H30" s="21"/>
      <c r="I30" s="20"/>
      <c r="J30" s="20"/>
      <c r="K30" s="20"/>
      <c r="L30" s="22"/>
      <c r="M30" s="22"/>
      <c r="N30" s="22"/>
      <c r="O30" s="20"/>
      <c r="P30" s="22"/>
      <c r="Q30" s="30"/>
      <c r="R30" s="30"/>
      <c r="S30" s="31"/>
    </row>
    <row r="31" spans="1:19" ht="15.75" customHeight="1">
      <c r="E31" s="20"/>
      <c r="F31" s="20"/>
      <c r="G31" s="29"/>
      <c r="H31" s="21"/>
      <c r="I31" s="20"/>
      <c r="J31" s="20"/>
      <c r="K31" s="20"/>
      <c r="L31" s="22"/>
      <c r="M31" s="22"/>
      <c r="N31" s="22"/>
      <c r="O31" s="20"/>
      <c r="P31" s="22"/>
      <c r="Q31" s="30"/>
      <c r="R31" s="30"/>
      <c r="S31" s="31"/>
    </row>
    <row r="32" spans="1:19" ht="15.75" customHeight="1">
      <c r="E32" s="20"/>
      <c r="F32" s="20"/>
      <c r="G32" s="29"/>
      <c r="H32" s="21"/>
      <c r="I32" s="20"/>
      <c r="J32" s="20"/>
      <c r="K32" s="20"/>
      <c r="L32" s="22"/>
      <c r="M32" s="22"/>
      <c r="N32" s="22"/>
      <c r="O32" s="20"/>
      <c r="P32" s="22"/>
      <c r="Q32" s="30"/>
      <c r="R32" s="30"/>
      <c r="S32" s="31"/>
    </row>
    <row r="33" spans="5:19" ht="15.75" customHeight="1">
      <c r="E33" s="20"/>
      <c r="F33" s="20"/>
      <c r="G33" s="29"/>
      <c r="H33" s="21"/>
      <c r="I33" s="20"/>
      <c r="J33" s="20"/>
      <c r="K33" s="20"/>
      <c r="L33" s="22"/>
      <c r="M33" s="22"/>
      <c r="N33" s="22"/>
      <c r="O33" s="20"/>
      <c r="P33" s="22"/>
      <c r="Q33" s="30"/>
      <c r="R33" s="30"/>
      <c r="S33" s="31"/>
    </row>
    <row r="34" spans="5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5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5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5:19" ht="15.75" customHeight="1"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5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5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5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5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5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5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5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5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5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5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5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20"/>
      <c r="F55" s="20"/>
      <c r="G55" s="29"/>
      <c r="H55" s="21"/>
      <c r="I55" s="20"/>
      <c r="J55" s="20"/>
      <c r="K55" s="20"/>
      <c r="L55" s="22"/>
      <c r="M55" s="22"/>
      <c r="N55" s="22"/>
      <c r="O55" s="20"/>
      <c r="P55" s="22"/>
      <c r="Q55" s="30"/>
      <c r="R55" s="30"/>
      <c r="S55" s="31"/>
    </row>
    <row r="56" spans="5:19" ht="15.75" customHeight="1">
      <c r="E56" s="20"/>
      <c r="F56" s="20"/>
      <c r="G56" s="29"/>
      <c r="H56" s="21"/>
      <c r="I56" s="20"/>
      <c r="J56" s="20"/>
      <c r="K56" s="20"/>
      <c r="L56" s="22"/>
      <c r="M56" s="22"/>
      <c r="N56" s="22"/>
      <c r="O56" s="20"/>
      <c r="P56" s="22"/>
      <c r="Q56" s="30"/>
      <c r="R56" s="30"/>
      <c r="S56" s="31"/>
    </row>
    <row r="57" spans="5:19" ht="15.75" customHeight="1">
      <c r="E57" s="20"/>
      <c r="F57" s="20"/>
      <c r="G57" s="29"/>
      <c r="H57" s="21"/>
      <c r="I57" s="20"/>
      <c r="J57" s="20"/>
      <c r="K57" s="20"/>
      <c r="L57" s="22"/>
      <c r="M57" s="22"/>
      <c r="N57" s="22"/>
      <c r="O57" s="20"/>
      <c r="P57" s="22"/>
      <c r="Q57" s="30"/>
      <c r="R57" s="30"/>
      <c r="S57" s="31"/>
    </row>
    <row r="58" spans="5:19" ht="15.75" customHeight="1">
      <c r="E58" s="20"/>
      <c r="F58" s="20"/>
      <c r="G58" s="29"/>
      <c r="H58" s="21"/>
      <c r="I58" s="20"/>
      <c r="J58" s="20"/>
      <c r="K58" s="20"/>
      <c r="L58" s="22"/>
      <c r="M58" s="22"/>
      <c r="N58" s="22"/>
      <c r="O58" s="20"/>
      <c r="P58" s="22"/>
      <c r="Q58" s="30"/>
      <c r="R58" s="30"/>
      <c r="S58" s="31"/>
    </row>
    <row r="59" spans="5:19" ht="15.75" customHeight="1">
      <c r="E59" s="20"/>
      <c r="F59" s="20"/>
      <c r="G59" s="29"/>
      <c r="H59" s="21"/>
      <c r="I59" s="20"/>
      <c r="J59" s="20"/>
      <c r="K59" s="20"/>
      <c r="L59" s="22"/>
      <c r="M59" s="22"/>
      <c r="N59" s="22"/>
      <c r="O59" s="20"/>
      <c r="P59" s="22"/>
      <c r="Q59" s="30"/>
      <c r="R59" s="30"/>
      <c r="S59" s="31"/>
    </row>
    <row r="60" spans="5:19" ht="15.75" customHeight="1">
      <c r="E60" s="20"/>
      <c r="F60" s="20"/>
      <c r="G60" s="29"/>
      <c r="H60" s="21"/>
      <c r="I60" s="20"/>
      <c r="J60" s="20"/>
      <c r="K60" s="20"/>
      <c r="L60" s="22"/>
      <c r="M60" s="22"/>
      <c r="N60" s="22"/>
      <c r="O60" s="20"/>
      <c r="P60" s="22"/>
      <c r="Q60" s="30"/>
      <c r="R60" s="30"/>
      <c r="S60" s="31"/>
    </row>
    <row r="61" spans="5:19" ht="15.75" customHeight="1">
      <c r="E61" s="20"/>
      <c r="F61" s="20"/>
      <c r="G61" s="29"/>
      <c r="H61" s="21"/>
      <c r="I61" s="20"/>
      <c r="J61" s="20"/>
      <c r="K61" s="20"/>
      <c r="L61" s="22"/>
      <c r="M61" s="22"/>
      <c r="N61" s="22"/>
      <c r="O61" s="20"/>
      <c r="P61" s="22"/>
      <c r="Q61" s="30"/>
      <c r="R61" s="30"/>
      <c r="S61" s="31"/>
    </row>
    <row r="62" spans="5:19" ht="15.75" customHeight="1">
      <c r="E62" s="20"/>
      <c r="F62" s="20"/>
      <c r="G62" s="29"/>
      <c r="H62" s="21"/>
      <c r="I62" s="20"/>
      <c r="J62" s="20"/>
      <c r="K62" s="20"/>
      <c r="L62" s="22"/>
      <c r="M62" s="22"/>
      <c r="N62" s="22"/>
      <c r="O62" s="20"/>
      <c r="P62" s="22"/>
      <c r="Q62" s="30"/>
      <c r="R62" s="30"/>
      <c r="S62" s="31"/>
    </row>
    <row r="63" spans="5:19" ht="15.75" customHeight="1">
      <c r="E63" s="20"/>
      <c r="F63" s="20"/>
      <c r="G63" s="29"/>
      <c r="H63" s="21"/>
      <c r="I63" s="20"/>
      <c r="J63" s="20"/>
      <c r="K63" s="20"/>
      <c r="L63" s="22"/>
      <c r="M63" s="22"/>
      <c r="N63" s="22"/>
      <c r="O63" s="20"/>
      <c r="P63" s="22"/>
      <c r="Q63" s="30"/>
      <c r="R63" s="30"/>
      <c r="S63" s="31"/>
    </row>
    <row r="64" spans="5:19" ht="15.75" customHeight="1">
      <c r="E64" s="20"/>
      <c r="F64" s="20"/>
      <c r="G64" s="29"/>
      <c r="H64" s="21"/>
      <c r="I64" s="20"/>
      <c r="J64" s="20"/>
      <c r="K64" s="20"/>
      <c r="L64" s="22"/>
      <c r="M64" s="22"/>
      <c r="N64" s="22"/>
      <c r="O64" s="20"/>
      <c r="P64" s="22"/>
      <c r="Q64" s="30"/>
      <c r="R64" s="30"/>
      <c r="S64" s="31"/>
    </row>
    <row r="65" spans="5:19" ht="15.75" customHeight="1">
      <c r="E65" s="20"/>
      <c r="F65" s="20"/>
      <c r="G65" s="29"/>
      <c r="H65" s="21"/>
      <c r="I65" s="20"/>
      <c r="J65" s="20"/>
      <c r="K65" s="20"/>
      <c r="L65" s="22"/>
      <c r="M65" s="22"/>
      <c r="N65" s="22"/>
      <c r="O65" s="20"/>
      <c r="P65" s="22"/>
      <c r="Q65" s="30"/>
      <c r="R65" s="30"/>
      <c r="S65" s="31"/>
    </row>
    <row r="66" spans="5:19" ht="15.75" customHeight="1">
      <c r="E66" s="20"/>
      <c r="F66" s="20"/>
      <c r="G66" s="29"/>
      <c r="H66" s="21"/>
      <c r="I66" s="20"/>
      <c r="J66" s="20"/>
      <c r="K66" s="20"/>
      <c r="L66" s="22"/>
      <c r="M66" s="22"/>
      <c r="N66" s="22"/>
      <c r="O66" s="20"/>
      <c r="P66" s="22"/>
      <c r="Q66" s="30"/>
      <c r="R66" s="30"/>
      <c r="S66" s="31"/>
    </row>
    <row r="67" spans="5:19" ht="15.75" customHeight="1">
      <c r="E67" s="20"/>
      <c r="F67" s="20"/>
      <c r="G67" s="29"/>
      <c r="H67" s="21"/>
      <c r="I67" s="20"/>
      <c r="J67" s="20"/>
      <c r="K67" s="20"/>
      <c r="L67" s="22"/>
      <c r="M67" s="22"/>
      <c r="N67" s="22"/>
      <c r="O67" s="20"/>
      <c r="P67" s="22"/>
      <c r="Q67" s="30"/>
      <c r="R67" s="30"/>
      <c r="S67" s="31"/>
    </row>
    <row r="68" spans="5:19" ht="15.75" customHeight="1">
      <c r="E68" s="20"/>
      <c r="F68" s="20"/>
      <c r="G68" s="29"/>
      <c r="H68" s="21"/>
      <c r="I68" s="20"/>
      <c r="J68" s="20"/>
      <c r="K68" s="20"/>
      <c r="L68" s="22"/>
      <c r="M68" s="22"/>
      <c r="N68" s="22"/>
      <c r="O68" s="20"/>
      <c r="P68" s="22"/>
      <c r="Q68" s="30"/>
      <c r="R68" s="30"/>
      <c r="S68" s="31"/>
    </row>
    <row r="69" spans="5:19" ht="15.75" customHeight="1">
      <c r="E69" s="20"/>
      <c r="F69" s="20"/>
      <c r="G69" s="29"/>
      <c r="H69" s="21"/>
      <c r="I69" s="20"/>
      <c r="J69" s="20"/>
      <c r="K69" s="20"/>
      <c r="L69" s="22"/>
      <c r="M69" s="22"/>
      <c r="N69" s="22"/>
      <c r="O69" s="20"/>
      <c r="P69" s="22"/>
      <c r="Q69" s="30"/>
      <c r="R69" s="30"/>
      <c r="S69" s="31"/>
    </row>
    <row r="70" spans="5:19" ht="15.75" customHeight="1">
      <c r="E70" s="20"/>
      <c r="F70" s="20"/>
      <c r="G70" s="29"/>
      <c r="H70" s="21"/>
      <c r="I70" s="20"/>
      <c r="J70" s="20"/>
      <c r="K70" s="20"/>
      <c r="L70" s="22"/>
      <c r="M70" s="22"/>
      <c r="N70" s="22"/>
      <c r="O70" s="20"/>
      <c r="P70" s="22"/>
      <c r="Q70" s="30"/>
      <c r="R70" s="30"/>
      <c r="S70" s="31"/>
    </row>
    <row r="71" spans="5:19" ht="15.75" customHeight="1">
      <c r="E71" s="20"/>
      <c r="F71" s="20"/>
      <c r="G71" s="29"/>
      <c r="H71" s="21"/>
      <c r="I71" s="20"/>
      <c r="J71" s="20"/>
      <c r="K71" s="20"/>
      <c r="L71" s="22"/>
      <c r="M71" s="22"/>
      <c r="N71" s="22"/>
      <c r="O71" s="20"/>
      <c r="P71" s="22"/>
      <c r="Q71" s="30"/>
      <c r="R71" s="30"/>
      <c r="S71" s="31"/>
    </row>
    <row r="72" spans="5:19" ht="15.75" customHeight="1">
      <c r="E72" s="20"/>
      <c r="F72" s="20"/>
      <c r="G72" s="29"/>
      <c r="H72" s="21"/>
      <c r="I72" s="20"/>
      <c r="J72" s="20"/>
      <c r="K72" s="20"/>
      <c r="L72" s="22"/>
      <c r="M72" s="22"/>
      <c r="N72" s="22"/>
      <c r="O72" s="20"/>
      <c r="P72" s="22"/>
      <c r="Q72" s="30"/>
      <c r="R72" s="30"/>
      <c r="S72" s="31"/>
    </row>
    <row r="73" spans="5:19" ht="15.75" customHeight="1">
      <c r="E73" s="20"/>
      <c r="F73" s="20"/>
      <c r="G73" s="29"/>
      <c r="H73" s="21"/>
      <c r="I73" s="20"/>
      <c r="J73" s="20"/>
      <c r="K73" s="20"/>
      <c r="L73" s="22"/>
      <c r="M73" s="22"/>
      <c r="N73" s="22"/>
      <c r="O73" s="20"/>
      <c r="P73" s="22"/>
      <c r="Q73" s="30"/>
      <c r="R73" s="30"/>
      <c r="S73" s="31"/>
    </row>
    <row r="74" spans="5:19" ht="15.75" customHeight="1">
      <c r="E74" s="20"/>
      <c r="F74" s="20"/>
      <c r="G74" s="29"/>
      <c r="H74" s="21"/>
      <c r="I74" s="20"/>
      <c r="J74" s="20"/>
      <c r="K74" s="20"/>
      <c r="L74" s="22"/>
      <c r="M74" s="22"/>
      <c r="N74" s="22"/>
      <c r="O74" s="20"/>
      <c r="P74" s="22"/>
      <c r="Q74" s="30"/>
      <c r="R74" s="30"/>
      <c r="S74" s="31"/>
    </row>
    <row r="75" spans="5:19" ht="15.75" customHeight="1">
      <c r="E75" s="20"/>
      <c r="F75" s="20"/>
      <c r="G75" s="29"/>
      <c r="H75" s="21"/>
      <c r="I75" s="20"/>
      <c r="J75" s="20"/>
      <c r="K75" s="20"/>
      <c r="L75" s="22"/>
      <c r="M75" s="22"/>
      <c r="N75" s="22"/>
      <c r="O75" s="20"/>
      <c r="P75" s="22"/>
      <c r="Q75" s="30"/>
      <c r="R75" s="30"/>
      <c r="S75" s="31"/>
    </row>
    <row r="76" spans="5:19" ht="15.75" customHeight="1">
      <c r="E76" s="20"/>
      <c r="F76" s="20"/>
      <c r="G76" s="29"/>
      <c r="H76" s="21"/>
      <c r="I76" s="20"/>
      <c r="J76" s="20"/>
      <c r="K76" s="20"/>
      <c r="L76" s="22"/>
      <c r="M76" s="22"/>
      <c r="N76" s="22"/>
      <c r="O76" s="20"/>
      <c r="P76" s="22"/>
      <c r="Q76" s="30"/>
      <c r="R76" s="30"/>
      <c r="S76" s="31"/>
    </row>
    <row r="77" spans="5:19" ht="15.75" customHeight="1">
      <c r="E77" s="20"/>
      <c r="F77" s="20"/>
      <c r="G77" s="29"/>
      <c r="H77" s="21"/>
      <c r="I77" s="20"/>
      <c r="J77" s="20"/>
      <c r="K77" s="20"/>
      <c r="L77" s="22"/>
      <c r="M77" s="22"/>
      <c r="N77" s="22"/>
      <c r="O77" s="20"/>
      <c r="P77" s="22"/>
      <c r="Q77" s="30"/>
      <c r="R77" s="30"/>
      <c r="S77" s="31"/>
    </row>
    <row r="78" spans="5:19" ht="15.75" customHeight="1">
      <c r="E78" s="20"/>
      <c r="F78" s="20"/>
      <c r="G78" s="29"/>
      <c r="H78" s="21"/>
      <c r="I78" s="20"/>
      <c r="J78" s="20"/>
      <c r="K78" s="20"/>
      <c r="L78" s="22"/>
      <c r="M78" s="22"/>
      <c r="N78" s="22"/>
      <c r="O78" s="20"/>
      <c r="P78" s="22"/>
      <c r="Q78" s="30"/>
      <c r="R78" s="30"/>
      <c r="S78" s="31"/>
    </row>
    <row r="79" spans="5:19" ht="15.75" customHeight="1">
      <c r="E79" s="20"/>
      <c r="F79" s="20"/>
      <c r="G79" s="29"/>
      <c r="H79" s="21"/>
      <c r="I79" s="20"/>
      <c r="J79" s="20"/>
      <c r="K79" s="20"/>
      <c r="L79" s="22"/>
      <c r="M79" s="22"/>
      <c r="N79" s="22"/>
      <c r="O79" s="20"/>
      <c r="P79" s="22"/>
      <c r="Q79" s="30"/>
      <c r="R79" s="30"/>
      <c r="S79" s="31"/>
    </row>
    <row r="80" spans="5:19" ht="15.75" customHeight="1">
      <c r="E80" s="20"/>
      <c r="F80" s="20"/>
      <c r="G80" s="29"/>
      <c r="H80" s="21"/>
      <c r="I80" s="20"/>
      <c r="J80" s="20"/>
      <c r="K80" s="20"/>
      <c r="L80" s="22"/>
      <c r="M80" s="22"/>
      <c r="N80" s="22"/>
      <c r="O80" s="20"/>
      <c r="P80" s="22"/>
      <c r="Q80" s="30"/>
      <c r="R80" s="30"/>
      <c r="S80" s="31"/>
    </row>
    <row r="81" spans="5:19" ht="15.75" customHeight="1">
      <c r="E81" s="20"/>
      <c r="F81" s="20"/>
      <c r="G81" s="29"/>
      <c r="H81" s="21"/>
      <c r="I81" s="20"/>
      <c r="J81" s="20"/>
      <c r="K81" s="20"/>
      <c r="L81" s="22"/>
      <c r="M81" s="22"/>
      <c r="N81" s="22"/>
      <c r="O81" s="20"/>
      <c r="P81" s="22"/>
      <c r="Q81" s="30"/>
      <c r="R81" s="30"/>
      <c r="S81" s="31"/>
    </row>
    <row r="82" spans="5:19" ht="15.75" customHeight="1">
      <c r="E82" s="20"/>
      <c r="F82" s="20"/>
      <c r="G82" s="29"/>
      <c r="H82" s="21"/>
      <c r="I82" s="20"/>
      <c r="J82" s="20"/>
      <c r="K82" s="20"/>
      <c r="L82" s="22"/>
      <c r="M82" s="22"/>
      <c r="N82" s="22"/>
      <c r="O82" s="20"/>
      <c r="P82" s="22"/>
      <c r="Q82" s="30"/>
      <c r="R82" s="30"/>
      <c r="S82" s="31"/>
    </row>
    <row r="83" spans="5:19" ht="15.75" customHeight="1">
      <c r="E83" s="20"/>
      <c r="F83" s="20"/>
      <c r="G83" s="29"/>
      <c r="H83" s="21"/>
      <c r="I83" s="20"/>
      <c r="J83" s="20"/>
      <c r="K83" s="20"/>
      <c r="L83" s="22"/>
      <c r="M83" s="22"/>
      <c r="N83" s="22"/>
      <c r="O83" s="20"/>
      <c r="P83" s="22"/>
      <c r="Q83" s="30"/>
      <c r="R83" s="30"/>
      <c r="S83" s="31"/>
    </row>
    <row r="84" spans="5:19" ht="15.75" customHeight="1">
      <c r="E84" s="20"/>
      <c r="F84" s="20"/>
      <c r="G84" s="29"/>
      <c r="H84" s="21"/>
      <c r="I84" s="20"/>
      <c r="J84" s="20"/>
      <c r="K84" s="20"/>
      <c r="L84" s="22"/>
      <c r="M84" s="22"/>
      <c r="N84" s="22"/>
      <c r="O84" s="20"/>
      <c r="P84" s="22"/>
      <c r="Q84" s="30"/>
      <c r="R84" s="30"/>
      <c r="S84" s="31"/>
    </row>
    <row r="85" spans="5:19" ht="15.75" customHeight="1">
      <c r="E85" s="20"/>
      <c r="F85" s="20"/>
      <c r="G85" s="29"/>
      <c r="H85" s="21"/>
      <c r="I85" s="20"/>
      <c r="J85" s="20"/>
      <c r="K85" s="20"/>
      <c r="L85" s="22"/>
      <c r="M85" s="22"/>
      <c r="N85" s="22"/>
      <c r="O85" s="20"/>
      <c r="P85" s="22"/>
      <c r="Q85" s="30"/>
      <c r="R85" s="30"/>
      <c r="S85" s="31"/>
    </row>
    <row r="86" spans="5:19" ht="15.75" customHeight="1">
      <c r="E86" s="20"/>
      <c r="F86" s="20"/>
      <c r="G86" s="29"/>
      <c r="H86" s="21"/>
      <c r="I86" s="20"/>
      <c r="J86" s="20"/>
      <c r="K86" s="20"/>
      <c r="L86" s="22"/>
      <c r="M86" s="22"/>
      <c r="N86" s="22"/>
      <c r="O86" s="20"/>
      <c r="P86" s="22"/>
      <c r="Q86" s="30"/>
      <c r="R86" s="30"/>
      <c r="S86" s="31"/>
    </row>
    <row r="87" spans="5:19" ht="15.75" customHeight="1">
      <c r="E87" s="20"/>
      <c r="F87" s="20"/>
      <c r="G87" s="29"/>
      <c r="H87" s="21"/>
      <c r="I87" s="20"/>
      <c r="J87" s="20"/>
      <c r="K87" s="20"/>
      <c r="L87" s="22"/>
      <c r="M87" s="22"/>
      <c r="N87" s="22"/>
      <c r="O87" s="20"/>
      <c r="P87" s="22"/>
      <c r="Q87" s="30"/>
      <c r="R87" s="30"/>
      <c r="S87" s="31"/>
    </row>
    <row r="88" spans="5:19" ht="15.75" customHeight="1">
      <c r="E88" s="20"/>
      <c r="F88" s="20"/>
      <c r="G88" s="29"/>
      <c r="H88" s="21"/>
      <c r="I88" s="20"/>
      <c r="J88" s="20"/>
      <c r="K88" s="20"/>
      <c r="L88" s="22"/>
      <c r="M88" s="22"/>
      <c r="N88" s="22"/>
      <c r="O88" s="20"/>
      <c r="P88" s="22"/>
      <c r="Q88" s="30"/>
      <c r="R88" s="30"/>
      <c r="S88" s="31"/>
    </row>
    <row r="89" spans="5:19" ht="15.75" customHeight="1">
      <c r="E89" s="20"/>
      <c r="F89" s="20"/>
      <c r="G89" s="29"/>
      <c r="H89" s="21"/>
      <c r="I89" s="20"/>
      <c r="J89" s="20"/>
      <c r="K89" s="20"/>
      <c r="L89" s="22"/>
      <c r="M89" s="22"/>
      <c r="N89" s="22"/>
      <c r="O89" s="20"/>
      <c r="P89" s="22"/>
      <c r="Q89" s="30"/>
      <c r="R89" s="30"/>
      <c r="S89" s="31"/>
    </row>
    <row r="90" spans="5:19" ht="15.75" customHeight="1">
      <c r="E90" s="20"/>
      <c r="F90" s="20"/>
      <c r="G90" s="29"/>
      <c r="H90" s="21"/>
      <c r="I90" s="20"/>
      <c r="J90" s="20"/>
      <c r="K90" s="20"/>
      <c r="L90" s="22"/>
      <c r="M90" s="22"/>
      <c r="N90" s="22"/>
      <c r="O90" s="20"/>
      <c r="P90" s="22"/>
      <c r="Q90" s="30"/>
      <c r="R90" s="30"/>
      <c r="S90" s="31"/>
    </row>
    <row r="91" spans="5:19" ht="15.75" customHeight="1">
      <c r="E91" s="20"/>
      <c r="F91" s="20"/>
      <c r="G91" s="29"/>
      <c r="H91" s="21"/>
      <c r="I91" s="20"/>
      <c r="J91" s="20"/>
      <c r="K91" s="20"/>
      <c r="L91" s="22"/>
      <c r="M91" s="22"/>
      <c r="N91" s="22"/>
      <c r="O91" s="20"/>
      <c r="P91" s="22"/>
      <c r="Q91" s="30"/>
      <c r="R91" s="30"/>
      <c r="S91" s="31"/>
    </row>
    <row r="92" spans="5:19" ht="15.75" customHeight="1">
      <c r="E92" s="20"/>
      <c r="F92" s="20"/>
      <c r="G92" s="29"/>
      <c r="H92" s="21"/>
      <c r="I92" s="20"/>
      <c r="J92" s="20"/>
      <c r="K92" s="20"/>
      <c r="L92" s="22"/>
      <c r="M92" s="22"/>
      <c r="N92" s="22"/>
      <c r="O92" s="20"/>
      <c r="P92" s="22"/>
      <c r="Q92" s="30"/>
      <c r="R92" s="30"/>
      <c r="S92" s="31"/>
    </row>
    <row r="93" spans="5:19" ht="15.75" customHeight="1">
      <c r="E93" s="20"/>
      <c r="F93" s="20"/>
      <c r="G93" s="29"/>
      <c r="H93" s="21"/>
      <c r="I93" s="20"/>
      <c r="J93" s="20"/>
      <c r="K93" s="20"/>
      <c r="L93" s="22"/>
      <c r="M93" s="22"/>
      <c r="N93" s="22"/>
      <c r="O93" s="20"/>
      <c r="P93" s="22"/>
      <c r="Q93" s="30"/>
      <c r="R93" s="30"/>
      <c r="S93" s="31"/>
    </row>
    <row r="94" spans="5:19" ht="15.75" customHeight="1">
      <c r="E94" s="20"/>
      <c r="F94" s="20"/>
      <c r="G94" s="29"/>
      <c r="H94" s="21"/>
      <c r="I94" s="20"/>
      <c r="J94" s="20"/>
      <c r="K94" s="20"/>
      <c r="L94" s="22"/>
      <c r="M94" s="22"/>
      <c r="N94" s="22"/>
      <c r="O94" s="20"/>
      <c r="P94" s="22"/>
      <c r="Q94" s="30"/>
      <c r="R94" s="30"/>
      <c r="S94" s="31"/>
    </row>
    <row r="95" spans="5:19" ht="15.75" customHeight="1">
      <c r="E95" s="20"/>
      <c r="F95" s="20"/>
      <c r="G95" s="29"/>
      <c r="H95" s="21"/>
      <c r="I95" s="20"/>
      <c r="J95" s="20"/>
      <c r="K95" s="20"/>
      <c r="L95" s="22"/>
      <c r="M95" s="22"/>
      <c r="N95" s="22"/>
      <c r="O95" s="20"/>
      <c r="P95" s="22"/>
      <c r="Q95" s="30"/>
      <c r="R95" s="30"/>
      <c r="S95" s="31"/>
    </row>
    <row r="96" spans="5:19" ht="15.75" customHeight="1">
      <c r="E96" s="20"/>
      <c r="F96" s="20"/>
      <c r="G96" s="29"/>
      <c r="H96" s="21"/>
      <c r="I96" s="20"/>
      <c r="J96" s="20"/>
      <c r="K96" s="20"/>
      <c r="L96" s="22"/>
      <c r="M96" s="22"/>
      <c r="N96" s="22"/>
      <c r="O96" s="20"/>
      <c r="P96" s="22"/>
      <c r="Q96" s="30"/>
      <c r="R96" s="30"/>
      <c r="S96" s="31"/>
    </row>
    <row r="97" spans="5:19" ht="15.75" customHeight="1">
      <c r="E97" s="20"/>
      <c r="F97" s="20"/>
      <c r="G97" s="29"/>
      <c r="H97" s="21"/>
      <c r="I97" s="20"/>
      <c r="J97" s="20"/>
      <c r="K97" s="20"/>
      <c r="L97" s="22"/>
      <c r="M97" s="22"/>
      <c r="N97" s="22"/>
      <c r="O97" s="20"/>
      <c r="P97" s="22"/>
      <c r="Q97" s="30"/>
      <c r="R97" s="30"/>
      <c r="S97" s="31"/>
    </row>
    <row r="98" spans="5:19" ht="15.75" customHeight="1">
      <c r="E98" s="20"/>
      <c r="F98" s="20"/>
      <c r="G98" s="29"/>
      <c r="H98" s="21"/>
      <c r="I98" s="20"/>
      <c r="J98" s="20"/>
      <c r="K98" s="20"/>
      <c r="L98" s="22"/>
      <c r="M98" s="22"/>
      <c r="N98" s="22"/>
      <c r="O98" s="20"/>
      <c r="P98" s="22"/>
      <c r="Q98" s="30"/>
      <c r="R98" s="30"/>
      <c r="S98" s="31"/>
    </row>
    <row r="99" spans="5:19" ht="15.75" customHeight="1">
      <c r="E99" s="20"/>
      <c r="F99" s="20"/>
      <c r="G99" s="29"/>
      <c r="H99" s="21"/>
      <c r="I99" s="20"/>
      <c r="J99" s="20"/>
      <c r="K99" s="20"/>
      <c r="L99" s="22"/>
      <c r="M99" s="22"/>
      <c r="N99" s="22"/>
      <c r="O99" s="20"/>
      <c r="P99" s="22"/>
      <c r="Q99" s="30"/>
      <c r="R99" s="30"/>
      <c r="S99" s="31"/>
    </row>
    <row r="100" spans="5:19" ht="15.75" customHeight="1">
      <c r="E100" s="20"/>
      <c r="F100" s="20"/>
      <c r="G100" s="29"/>
      <c r="H100" s="21"/>
      <c r="I100" s="20"/>
      <c r="J100" s="20"/>
      <c r="K100" s="20"/>
      <c r="L100" s="22"/>
      <c r="M100" s="22"/>
      <c r="N100" s="22"/>
      <c r="O100" s="20"/>
      <c r="P100" s="22"/>
      <c r="Q100" s="30"/>
      <c r="R100" s="30"/>
      <c r="S100" s="31"/>
    </row>
    <row r="101" spans="5:19" ht="15.75" customHeight="1">
      <c r="E101" s="20"/>
      <c r="F101" s="20"/>
      <c r="G101" s="29"/>
      <c r="H101" s="21"/>
      <c r="I101" s="20"/>
      <c r="J101" s="20"/>
      <c r="K101" s="20"/>
      <c r="L101" s="22"/>
      <c r="M101" s="22"/>
      <c r="N101" s="22"/>
      <c r="O101" s="20"/>
      <c r="P101" s="22"/>
      <c r="Q101" s="30"/>
      <c r="R101" s="30"/>
      <c r="S101" s="31"/>
    </row>
    <row r="102" spans="5:19" ht="15.75" customHeight="1">
      <c r="E102" s="20"/>
      <c r="F102" s="20"/>
      <c r="G102" s="29"/>
      <c r="H102" s="21"/>
      <c r="I102" s="20"/>
      <c r="J102" s="20"/>
      <c r="K102" s="20"/>
      <c r="L102" s="22"/>
      <c r="M102" s="22"/>
      <c r="N102" s="22"/>
      <c r="O102" s="20"/>
      <c r="P102" s="22"/>
      <c r="Q102" s="30"/>
      <c r="R102" s="30"/>
      <c r="S102" s="31"/>
    </row>
    <row r="103" spans="5:19" ht="15.75" customHeight="1">
      <c r="E103" s="20"/>
      <c r="F103" s="20"/>
      <c r="G103" s="29"/>
      <c r="H103" s="21"/>
      <c r="I103" s="20"/>
      <c r="J103" s="20"/>
      <c r="K103" s="20"/>
      <c r="L103" s="22"/>
      <c r="M103" s="22"/>
      <c r="N103" s="22"/>
      <c r="O103" s="20"/>
      <c r="P103" s="22"/>
      <c r="Q103" s="30"/>
      <c r="R103" s="30"/>
      <c r="S103" s="31"/>
    </row>
    <row r="104" spans="5:19" ht="15.75" customHeight="1">
      <c r="E104" s="20"/>
      <c r="F104" s="20"/>
      <c r="G104" s="29"/>
      <c r="H104" s="21"/>
      <c r="I104" s="20"/>
      <c r="J104" s="20"/>
      <c r="K104" s="20"/>
      <c r="L104" s="22"/>
      <c r="M104" s="22"/>
      <c r="N104" s="22"/>
      <c r="O104" s="20"/>
      <c r="P104" s="22"/>
      <c r="Q104" s="30"/>
      <c r="R104" s="30"/>
      <c r="S104" s="31"/>
    </row>
    <row r="105" spans="5:19" ht="15.75" customHeight="1">
      <c r="E105" s="20"/>
      <c r="F105" s="20"/>
      <c r="G105" s="29"/>
      <c r="H105" s="21"/>
      <c r="I105" s="20"/>
      <c r="J105" s="20"/>
      <c r="K105" s="20"/>
      <c r="L105" s="22"/>
      <c r="M105" s="22"/>
      <c r="N105" s="22"/>
      <c r="O105" s="20"/>
      <c r="P105" s="22"/>
      <c r="Q105" s="30"/>
      <c r="R105" s="30"/>
      <c r="S105" s="31"/>
    </row>
    <row r="106" spans="5:19" ht="15.75" customHeight="1">
      <c r="E106" s="20"/>
      <c r="F106" s="20"/>
      <c r="G106" s="29"/>
      <c r="H106" s="21"/>
      <c r="I106" s="20"/>
      <c r="J106" s="20"/>
      <c r="K106" s="20"/>
      <c r="L106" s="22"/>
      <c r="M106" s="22"/>
      <c r="N106" s="22"/>
      <c r="O106" s="20"/>
      <c r="P106" s="22"/>
      <c r="Q106" s="30"/>
      <c r="R106" s="30"/>
      <c r="S106" s="31"/>
    </row>
    <row r="107" spans="5:19" ht="15.75" customHeight="1">
      <c r="E107" s="20"/>
      <c r="F107" s="20"/>
      <c r="G107" s="29"/>
      <c r="H107" s="21"/>
      <c r="I107" s="20"/>
      <c r="J107" s="20"/>
      <c r="K107" s="20"/>
      <c r="L107" s="22"/>
      <c r="M107" s="22"/>
      <c r="N107" s="22"/>
      <c r="O107" s="20"/>
      <c r="P107" s="22"/>
      <c r="Q107" s="30"/>
      <c r="R107" s="30"/>
      <c r="S107" s="31"/>
    </row>
    <row r="108" spans="5:19" ht="15.75" customHeight="1">
      <c r="E108" s="20"/>
      <c r="F108" s="20"/>
      <c r="G108" s="29"/>
      <c r="H108" s="21"/>
      <c r="I108" s="20"/>
      <c r="J108" s="20"/>
      <c r="K108" s="20"/>
      <c r="L108" s="22"/>
      <c r="M108" s="22"/>
      <c r="N108" s="22"/>
      <c r="O108" s="20"/>
      <c r="P108" s="22"/>
      <c r="Q108" s="30"/>
      <c r="R108" s="30"/>
      <c r="S108" s="31"/>
    </row>
    <row r="109" spans="5:19" ht="15.75" customHeight="1">
      <c r="E109" s="20"/>
      <c r="F109" s="20"/>
      <c r="G109" s="29"/>
      <c r="H109" s="21"/>
      <c r="I109" s="20"/>
      <c r="J109" s="20"/>
      <c r="K109" s="20"/>
      <c r="L109" s="22"/>
      <c r="M109" s="22"/>
      <c r="N109" s="22"/>
      <c r="O109" s="20"/>
      <c r="P109" s="22"/>
      <c r="Q109" s="30"/>
      <c r="R109" s="30"/>
      <c r="S109" s="31"/>
    </row>
    <row r="110" spans="5:19" ht="15.75" customHeight="1">
      <c r="E110" s="20"/>
      <c r="F110" s="20"/>
      <c r="G110" s="29"/>
      <c r="H110" s="21"/>
      <c r="I110" s="20"/>
      <c r="J110" s="20"/>
      <c r="K110" s="20"/>
      <c r="L110" s="22"/>
      <c r="M110" s="22"/>
      <c r="N110" s="22"/>
      <c r="O110" s="20"/>
      <c r="P110" s="22"/>
      <c r="Q110" s="30"/>
      <c r="R110" s="30"/>
      <c r="S110" s="31"/>
    </row>
    <row r="111" spans="5:19" ht="15.75" customHeight="1">
      <c r="E111" s="20"/>
      <c r="F111" s="20"/>
      <c r="G111" s="29"/>
      <c r="H111" s="21"/>
      <c r="I111" s="20"/>
      <c r="J111" s="20"/>
      <c r="K111" s="20"/>
      <c r="L111" s="22"/>
      <c r="M111" s="22"/>
      <c r="N111" s="22"/>
      <c r="O111" s="20"/>
      <c r="P111" s="22"/>
      <c r="Q111" s="30"/>
      <c r="R111" s="30"/>
      <c r="S111" s="31"/>
    </row>
    <row r="112" spans="5:19" ht="15.75" customHeight="1">
      <c r="E112" s="20"/>
      <c r="F112" s="20"/>
      <c r="G112" s="29"/>
      <c r="H112" s="21"/>
      <c r="I112" s="20"/>
      <c r="J112" s="20"/>
      <c r="K112" s="20"/>
      <c r="L112" s="22"/>
      <c r="M112" s="22"/>
      <c r="N112" s="22"/>
      <c r="O112" s="20"/>
      <c r="P112" s="22"/>
      <c r="Q112" s="30"/>
      <c r="R112" s="30"/>
      <c r="S112" s="31"/>
    </row>
    <row r="113" spans="5:19" ht="15.75" customHeight="1">
      <c r="E113" s="20"/>
      <c r="F113" s="20"/>
      <c r="G113" s="29"/>
      <c r="H113" s="21"/>
      <c r="I113" s="20"/>
      <c r="J113" s="20"/>
      <c r="K113" s="20"/>
      <c r="L113" s="22"/>
      <c r="M113" s="22"/>
      <c r="N113" s="22"/>
      <c r="O113" s="20"/>
      <c r="P113" s="22"/>
      <c r="Q113" s="30"/>
      <c r="R113" s="30"/>
      <c r="S113" s="31"/>
    </row>
    <row r="114" spans="5:19" ht="15.75" customHeight="1">
      <c r="E114" s="20"/>
      <c r="F114" s="20"/>
      <c r="G114" s="29"/>
      <c r="H114" s="21"/>
      <c r="I114" s="20"/>
      <c r="J114" s="20"/>
      <c r="K114" s="20"/>
      <c r="L114" s="22"/>
      <c r="M114" s="22"/>
      <c r="N114" s="22"/>
      <c r="O114" s="20"/>
      <c r="P114" s="22"/>
      <c r="Q114" s="30"/>
      <c r="R114" s="30"/>
      <c r="S114" s="31"/>
    </row>
    <row r="115" spans="5:19" ht="15.75" customHeight="1">
      <c r="E115" s="20"/>
      <c r="F115" s="20"/>
      <c r="G115" s="29"/>
      <c r="H115" s="21"/>
      <c r="I115" s="20"/>
      <c r="J115" s="20"/>
      <c r="K115" s="20"/>
      <c r="L115" s="22"/>
      <c r="M115" s="22"/>
      <c r="N115" s="22"/>
      <c r="O115" s="20"/>
      <c r="P115" s="22"/>
      <c r="Q115" s="30"/>
      <c r="R115" s="30"/>
      <c r="S115" s="31"/>
    </row>
    <row r="116" spans="5:19" ht="15.75" customHeight="1">
      <c r="E116" s="20"/>
      <c r="F116" s="20"/>
      <c r="G116" s="29"/>
      <c r="H116" s="21"/>
      <c r="I116" s="20"/>
      <c r="J116" s="20"/>
      <c r="K116" s="20"/>
      <c r="L116" s="22"/>
      <c r="M116" s="22"/>
      <c r="N116" s="22"/>
      <c r="O116" s="20"/>
      <c r="P116" s="22"/>
      <c r="Q116" s="30"/>
      <c r="R116" s="30"/>
      <c r="S116" s="31"/>
    </row>
    <row r="117" spans="5:19" ht="15.75" customHeight="1">
      <c r="E117" s="20"/>
      <c r="F117" s="20"/>
      <c r="G117" s="29"/>
      <c r="H117" s="21"/>
      <c r="I117" s="20"/>
      <c r="J117" s="20"/>
      <c r="K117" s="20"/>
      <c r="L117" s="22"/>
      <c r="M117" s="22"/>
      <c r="N117" s="22"/>
      <c r="O117" s="20"/>
      <c r="P117" s="22"/>
      <c r="Q117" s="30"/>
      <c r="R117" s="30"/>
      <c r="S117" s="31"/>
    </row>
    <row r="118" spans="5:19" ht="15.75" customHeight="1">
      <c r="E118" s="20"/>
      <c r="F118" s="20"/>
      <c r="G118" s="29"/>
      <c r="H118" s="21"/>
      <c r="I118" s="20"/>
      <c r="J118" s="20"/>
      <c r="K118" s="20"/>
      <c r="L118" s="22"/>
      <c r="M118" s="22"/>
      <c r="N118" s="22"/>
      <c r="O118" s="20"/>
      <c r="P118" s="22"/>
      <c r="Q118" s="30"/>
      <c r="R118" s="30"/>
      <c r="S118" s="31"/>
    </row>
    <row r="119" spans="5:19" ht="15.75" customHeight="1">
      <c r="E119" s="20"/>
      <c r="F119" s="20"/>
      <c r="G119" s="29"/>
      <c r="H119" s="21"/>
      <c r="I119" s="20"/>
      <c r="J119" s="20"/>
      <c r="K119" s="20"/>
      <c r="L119" s="22"/>
      <c r="M119" s="22"/>
      <c r="N119" s="22"/>
      <c r="O119" s="20"/>
      <c r="P119" s="22"/>
      <c r="Q119" s="30"/>
      <c r="R119" s="30"/>
      <c r="S119" s="31"/>
    </row>
    <row r="120" spans="5:19" ht="15.75" customHeight="1">
      <c r="E120" s="20"/>
      <c r="F120" s="20"/>
      <c r="G120" s="29"/>
      <c r="H120" s="21"/>
      <c r="I120" s="20"/>
      <c r="J120" s="20"/>
      <c r="K120" s="20"/>
      <c r="L120" s="22"/>
      <c r="M120" s="22"/>
      <c r="N120" s="22"/>
      <c r="O120" s="20"/>
      <c r="P120" s="22"/>
      <c r="Q120" s="30"/>
      <c r="R120" s="30"/>
      <c r="S120" s="31"/>
    </row>
    <row r="121" spans="5:19" ht="15.75" customHeight="1">
      <c r="E121" s="20"/>
      <c r="F121" s="20"/>
      <c r="G121" s="29"/>
      <c r="H121" s="21"/>
      <c r="I121" s="20"/>
      <c r="J121" s="20"/>
      <c r="K121" s="20"/>
      <c r="L121" s="22"/>
      <c r="M121" s="22"/>
      <c r="N121" s="22"/>
      <c r="O121" s="20"/>
      <c r="P121" s="22"/>
      <c r="Q121" s="30"/>
      <c r="R121" s="30"/>
      <c r="S121" s="31"/>
    </row>
    <row r="122" spans="5:19" ht="15.75" customHeight="1">
      <c r="E122" s="20"/>
      <c r="F122" s="20"/>
      <c r="G122" s="29"/>
      <c r="H122" s="21"/>
      <c r="I122" s="20"/>
      <c r="J122" s="20"/>
      <c r="K122" s="20"/>
      <c r="L122" s="22"/>
      <c r="M122" s="22"/>
      <c r="N122" s="22"/>
      <c r="O122" s="20"/>
      <c r="P122" s="22"/>
      <c r="Q122" s="30"/>
      <c r="R122" s="30"/>
      <c r="S122" s="31"/>
    </row>
    <row r="123" spans="5:19" ht="15.75" customHeight="1">
      <c r="E123" s="20"/>
      <c r="F123" s="20"/>
      <c r="G123" s="29"/>
      <c r="H123" s="21"/>
      <c r="I123" s="20"/>
      <c r="J123" s="20"/>
      <c r="K123" s="20"/>
      <c r="L123" s="22"/>
      <c r="M123" s="22"/>
      <c r="N123" s="22"/>
      <c r="O123" s="20"/>
      <c r="P123" s="22"/>
      <c r="Q123" s="30"/>
      <c r="R123" s="30"/>
      <c r="S123" s="31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G126" s="18" t="s">
        <v>78</v>
      </c>
      <c r="H126" s="23">
        <f>SUM(H2:H4)</f>
        <v>2812962235.875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 t="s">
        <v>79</v>
      </c>
      <c r="H127" s="23">
        <v>654952051.65625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 t="s">
        <v>80</v>
      </c>
      <c r="H128" s="18">
        <f>H127/H126*100</f>
        <v>23.283357426678023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4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4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4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4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4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4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4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4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4:19" ht="15.75" customHeight="1">
      <c r="D137" t="s">
        <v>81</v>
      </c>
      <c r="E137" s="18">
        <f>128.17+17-44</f>
        <v>101.16999999999999</v>
      </c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4:19" ht="15.75" customHeight="1">
      <c r="D138" t="s">
        <v>82</v>
      </c>
      <c r="E138" s="18">
        <v>146.13999999999999</v>
      </c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4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4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4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4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4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4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0"/>
      <c r="B600" s="48"/>
      <c r="C600" s="49"/>
      <c r="D600" s="49"/>
      <c r="E600" s="7"/>
      <c r="F600" s="50"/>
      <c r="G600" s="49"/>
      <c r="H600" s="7"/>
      <c r="J600" s="23"/>
    </row>
    <row r="601" spans="1:19">
      <c r="A601" s="50"/>
      <c r="B601" s="48"/>
      <c r="C601" s="49"/>
      <c r="D601" s="49"/>
      <c r="E601" s="7"/>
      <c r="F601" s="24"/>
      <c r="G601" s="24"/>
      <c r="H601" s="24"/>
      <c r="J601" s="18"/>
    </row>
    <row r="602" spans="1:19">
      <c r="A602" s="24"/>
      <c r="B602" s="24"/>
      <c r="C602" s="24"/>
      <c r="D602" s="24"/>
      <c r="E602" s="24"/>
      <c r="F602" s="24"/>
      <c r="G602" s="32"/>
      <c r="H602" s="32"/>
      <c r="J602" s="18"/>
    </row>
    <row r="603" spans="1:19">
      <c r="A603" s="9"/>
      <c r="B603" s="9"/>
      <c r="C603" s="9"/>
      <c r="D603" s="9"/>
      <c r="E603" s="9"/>
      <c r="F603" s="9"/>
      <c r="G603" s="9"/>
      <c r="H603" s="9"/>
      <c r="J603" s="18"/>
    </row>
    <row r="604" spans="1:19">
      <c r="C604" s="25"/>
      <c r="D604" s="25"/>
      <c r="J604" s="23"/>
    </row>
    <row r="605" spans="1:19">
      <c r="A605" s="50"/>
      <c r="B605" s="48"/>
      <c r="C605" s="49"/>
      <c r="D605" s="49"/>
      <c r="E605" s="7"/>
      <c r="F605" s="50"/>
      <c r="G605" s="49"/>
      <c r="H605" s="7"/>
      <c r="J605" s="18"/>
    </row>
    <row r="606" spans="1:19">
      <c r="A606" s="50"/>
      <c r="B606" s="48"/>
      <c r="C606" s="49"/>
      <c r="D606" s="49"/>
      <c r="E606" s="7"/>
      <c r="F606" s="24"/>
      <c r="G606" s="24"/>
      <c r="H606" s="24"/>
    </row>
    <row r="607" spans="1:19">
      <c r="A607" s="24"/>
      <c r="B607" s="24"/>
      <c r="C607" s="24"/>
      <c r="D607" s="24"/>
      <c r="E607" s="24"/>
      <c r="F607" s="19"/>
      <c r="G607" s="32"/>
      <c r="H607" s="32"/>
      <c r="I607" s="24"/>
      <c r="J607" s="33"/>
    </row>
    <row r="608" spans="1:19">
      <c r="A608" s="9"/>
      <c r="B608" s="9"/>
      <c r="C608" s="9"/>
      <c r="D608" s="9"/>
      <c r="E608" s="9"/>
      <c r="F608" s="9"/>
      <c r="G608" s="9"/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0"/>
      <c r="B610" s="48"/>
      <c r="C610" s="49"/>
      <c r="D610" s="49"/>
      <c r="E610" s="7"/>
      <c r="F610" s="50"/>
      <c r="G610" s="49"/>
      <c r="H610" s="7"/>
    </row>
    <row r="611" spans="1:10">
      <c r="A611" s="50"/>
      <c r="B611" s="48"/>
      <c r="C611" s="49"/>
      <c r="D611" s="49"/>
      <c r="E611" s="7"/>
      <c r="F611" s="24"/>
      <c r="G611" s="24"/>
      <c r="H611" s="24"/>
      <c r="I611" s="48"/>
      <c r="J611" s="49"/>
    </row>
    <row r="612" spans="1:10">
      <c r="A612" s="24"/>
      <c r="B612" s="24"/>
      <c r="C612" s="24"/>
      <c r="D612" s="24"/>
      <c r="E612" s="24"/>
      <c r="F612" s="19"/>
      <c r="G612" s="32"/>
      <c r="H612" s="32"/>
      <c r="I612" s="24"/>
      <c r="J612" s="33"/>
    </row>
    <row r="613" spans="1:10">
      <c r="A613" s="9"/>
      <c r="B613" s="9"/>
      <c r="C613" s="9"/>
      <c r="D613" s="9"/>
      <c r="E613" s="9"/>
      <c r="F613" s="9"/>
      <c r="G613" s="9"/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0"/>
      <c r="B615" s="48"/>
      <c r="C615" s="49"/>
      <c r="D615" s="49"/>
      <c r="E615" s="7"/>
      <c r="F615" s="50"/>
      <c r="G615" s="49"/>
      <c r="H615" s="7"/>
    </row>
    <row r="616" spans="1:10">
      <c r="A616" s="50"/>
      <c r="B616" s="48"/>
      <c r="C616" s="49"/>
      <c r="D616" s="49"/>
      <c r="E616" s="7"/>
      <c r="F616" s="24"/>
      <c r="G616" s="24"/>
      <c r="H616" s="24"/>
      <c r="I616" s="48"/>
      <c r="J616" s="49"/>
    </row>
    <row r="617" spans="1:10">
      <c r="A617" s="24"/>
      <c r="B617" s="24"/>
      <c r="C617" s="24"/>
      <c r="D617" s="24"/>
      <c r="E617" s="24"/>
      <c r="F617" s="19"/>
      <c r="G617" s="32"/>
      <c r="H617" s="32"/>
      <c r="I617" s="24"/>
      <c r="J617" s="33"/>
    </row>
    <row r="618" spans="1:10">
      <c r="A618" s="9"/>
      <c r="B618" s="9"/>
      <c r="C618" s="9"/>
      <c r="D618" s="9"/>
      <c r="E618" s="9"/>
      <c r="F618" s="9"/>
      <c r="G618" s="9"/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0"/>
      <c r="B620" s="48"/>
      <c r="C620" s="49"/>
      <c r="D620" s="49"/>
      <c r="E620" s="7"/>
      <c r="F620" s="50"/>
      <c r="G620" s="49"/>
      <c r="H620" s="7"/>
    </row>
    <row r="621" spans="1:10">
      <c r="A621" s="50"/>
      <c r="B621" s="48"/>
      <c r="C621" s="49"/>
      <c r="D621" s="49"/>
      <c r="E621" s="7"/>
      <c r="F621" s="24"/>
      <c r="G621" s="24"/>
      <c r="H621" s="24"/>
      <c r="I621" s="48"/>
      <c r="J621" s="49"/>
    </row>
    <row r="622" spans="1:10">
      <c r="A622" s="24"/>
      <c r="B622" s="24"/>
      <c r="C622" s="24"/>
      <c r="D622" s="24"/>
      <c r="E622" s="24"/>
      <c r="F622" s="19"/>
      <c r="G622" s="32"/>
      <c r="H622" s="32"/>
      <c r="I622" s="24"/>
      <c r="J622" s="33"/>
    </row>
    <row r="623" spans="1:10">
      <c r="A623" s="9"/>
      <c r="B623" s="9"/>
      <c r="C623" s="9"/>
      <c r="D623" s="9"/>
      <c r="E623" s="9"/>
      <c r="F623" s="9"/>
      <c r="G623" s="9"/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0"/>
      <c r="B625" s="48"/>
      <c r="C625" s="49"/>
      <c r="D625" s="49"/>
      <c r="E625" s="7"/>
      <c r="F625" s="50"/>
      <c r="G625" s="49"/>
      <c r="H625" s="7"/>
    </row>
    <row r="626" spans="1:10">
      <c r="A626" s="50"/>
      <c r="B626" s="48"/>
      <c r="C626" s="49"/>
      <c r="D626" s="49"/>
      <c r="E626" s="7"/>
      <c r="F626" s="24"/>
      <c r="G626" s="24"/>
      <c r="H626" s="24"/>
      <c r="I626" s="48"/>
      <c r="J626" s="49"/>
    </row>
    <row r="627" spans="1:10">
      <c r="A627" s="24"/>
      <c r="B627" s="24"/>
      <c r="C627" s="24"/>
      <c r="D627" s="24"/>
      <c r="E627" s="24"/>
      <c r="F627" s="19"/>
      <c r="G627" s="32"/>
      <c r="H627" s="32"/>
      <c r="I627" s="24"/>
      <c r="J627" s="33"/>
    </row>
    <row r="628" spans="1:10">
      <c r="A628" s="9"/>
      <c r="B628" s="9"/>
      <c r="C628" s="9"/>
      <c r="D628" s="9"/>
      <c r="E628" s="9"/>
      <c r="F628" s="9"/>
      <c r="G628" s="9"/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0"/>
      <c r="B630" s="48"/>
      <c r="C630" s="49"/>
      <c r="D630" s="49"/>
      <c r="E630" s="7"/>
      <c r="F630" s="50"/>
      <c r="G630" s="49"/>
      <c r="H630" s="7"/>
    </row>
    <row r="631" spans="1:10">
      <c r="A631" s="50"/>
      <c r="B631" s="48"/>
      <c r="C631" s="49"/>
      <c r="D631" s="49"/>
      <c r="E631" s="7"/>
      <c r="F631" s="24"/>
      <c r="G631" s="24"/>
      <c r="H631" s="24"/>
      <c r="I631" s="48"/>
      <c r="J631" s="49"/>
    </row>
    <row r="632" spans="1:10">
      <c r="A632" s="24"/>
      <c r="B632" s="24"/>
      <c r="C632" s="24"/>
      <c r="D632" s="24"/>
      <c r="E632" s="24"/>
      <c r="F632" s="19"/>
      <c r="G632" s="32"/>
      <c r="H632" s="32"/>
      <c r="I632" s="24"/>
      <c r="J632" s="33"/>
    </row>
    <row r="633" spans="1:10">
      <c r="A633" s="9"/>
      <c r="B633" s="9"/>
      <c r="C633" s="9"/>
      <c r="D633" s="9"/>
      <c r="E633" s="9"/>
      <c r="F633" s="9"/>
      <c r="G633" s="9"/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0"/>
      <c r="B635" s="48"/>
      <c r="C635" s="49"/>
      <c r="D635" s="49"/>
      <c r="E635" s="7"/>
      <c r="F635" s="50"/>
      <c r="G635" s="49"/>
      <c r="H635" s="7"/>
    </row>
    <row r="636" spans="1:10">
      <c r="A636" s="50"/>
      <c r="B636" s="48"/>
      <c r="C636" s="49"/>
      <c r="D636" s="49"/>
      <c r="E636" s="7"/>
      <c r="F636" s="24"/>
      <c r="G636" s="24"/>
      <c r="H636" s="24"/>
      <c r="I636" s="48"/>
      <c r="J636" s="49"/>
    </row>
    <row r="637" spans="1:10">
      <c r="A637" s="24"/>
      <c r="B637" s="24"/>
      <c r="C637" s="24"/>
      <c r="D637" s="24"/>
      <c r="E637" s="24"/>
      <c r="F637" s="19"/>
      <c r="G637" s="32"/>
      <c r="H637" s="32"/>
      <c r="I637" s="24"/>
      <c r="J637" s="33"/>
    </row>
    <row r="638" spans="1:10">
      <c r="A638" s="9"/>
      <c r="B638" s="9"/>
      <c r="C638" s="9"/>
      <c r="D638" s="9"/>
      <c r="E638" s="9"/>
      <c r="F638" s="9"/>
      <c r="G638" s="9"/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0"/>
      <c r="B640" s="48"/>
      <c r="C640" s="49"/>
      <c r="D640" s="49"/>
      <c r="E640" s="7"/>
      <c r="F640" s="50"/>
      <c r="G640" s="49"/>
      <c r="H640" s="7"/>
    </row>
    <row r="641" spans="1:10">
      <c r="A641" s="50"/>
      <c r="B641" s="48"/>
      <c r="C641" s="49"/>
      <c r="D641" s="49"/>
      <c r="E641" s="7"/>
      <c r="F641" s="24"/>
      <c r="G641" s="24"/>
      <c r="H641" s="24"/>
      <c r="I641" s="48"/>
      <c r="J641" s="49"/>
    </row>
    <row r="642" spans="1:10">
      <c r="A642" s="24"/>
      <c r="B642" s="24"/>
      <c r="C642" s="24"/>
      <c r="D642" s="24"/>
      <c r="E642" s="24"/>
      <c r="F642" s="19"/>
      <c r="G642" s="32"/>
      <c r="H642" s="32"/>
      <c r="I642" s="24"/>
      <c r="J642" s="33"/>
    </row>
    <row r="643" spans="1:10">
      <c r="A643" s="9"/>
      <c r="B643" s="9"/>
      <c r="C643" s="9"/>
      <c r="D643" s="9"/>
      <c r="E643" s="9"/>
      <c r="F643" s="9"/>
      <c r="G643" s="9"/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0"/>
      <c r="B645" s="48"/>
      <c r="C645" s="49"/>
      <c r="D645" s="49"/>
      <c r="E645" s="7"/>
      <c r="F645" s="50"/>
      <c r="G645" s="49"/>
      <c r="H645" s="7"/>
    </row>
    <row r="646" spans="1:10">
      <c r="A646" s="50"/>
      <c r="B646" s="48"/>
      <c r="C646" s="49"/>
      <c r="D646" s="49"/>
      <c r="E646" s="7"/>
      <c r="F646" s="24"/>
      <c r="G646" s="24"/>
      <c r="H646" s="24"/>
      <c r="I646" s="48"/>
      <c r="J646" s="49"/>
    </row>
    <row r="647" spans="1:10">
      <c r="A647" s="24"/>
      <c r="B647" s="24"/>
      <c r="C647" s="24"/>
      <c r="D647" s="24"/>
      <c r="E647" s="24"/>
      <c r="F647" s="19"/>
      <c r="G647" s="32"/>
      <c r="H647" s="32"/>
      <c r="I647" s="24"/>
      <c r="J647" s="33"/>
    </row>
    <row r="648" spans="1:10">
      <c r="A648" s="9"/>
      <c r="B648" s="9"/>
      <c r="C648" s="9"/>
      <c r="D648" s="9"/>
      <c r="E648" s="9"/>
      <c r="F648" s="9"/>
      <c r="G648" s="9"/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9"/>
      <c r="G651" s="9"/>
    </row>
  </sheetData>
  <autoFilter ref="A1:S1" xr:uid="{00000000-0009-0000-0000-000002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F645:G645"/>
    <mergeCell ref="I646:J646"/>
    <mergeCell ref="A620:D620"/>
    <mergeCell ref="I631:J631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S651"/>
  <sheetViews>
    <sheetView zoomScale="85" zoomScaleNormal="85" workbookViewId="0">
      <pane ySplit="1" topLeftCell="A2" activePane="bottomLeft" state="frozen"/>
      <selection pane="bottomLeft" activeCell="A4" sqref="A4:XFD8"/>
    </sheetView>
  </sheetViews>
  <sheetFormatPr defaultColWidth="9.140625" defaultRowHeight="15"/>
  <cols>
    <col min="1" max="1" width="43.140625" style="26" customWidth="1"/>
    <col min="2" max="2" width="10.85546875" style="25" bestFit="1" customWidth="1"/>
    <col min="3" max="3" width="44.28515625" style="26" bestFit="1" customWidth="1"/>
    <col min="4" max="4" width="89.5703125" style="26" bestFit="1" customWidth="1"/>
    <col min="5" max="5" width="30.5703125" style="26" bestFit="1" customWidth="1"/>
    <col min="6" max="6" width="29.5703125" style="26" bestFit="1" customWidth="1"/>
    <col min="7" max="7" width="29.1406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customHeight="1">
      <c r="A2" t="str">
        <f t="shared" ref="A2:A33" si="0">C2</f>
        <v>Trastuzumab ADC_2K_loss_deglyc</v>
      </c>
      <c r="B2" s="25">
        <v>1</v>
      </c>
      <c r="C2" t="s">
        <v>19</v>
      </c>
      <c r="D2" t="s">
        <v>20</v>
      </c>
      <c r="E2" s="20">
        <v>147199.44158228801</v>
      </c>
      <c r="F2" s="20">
        <v>147199.42604399999</v>
      </c>
      <c r="G2" s="29">
        <v>0.105559421325848</v>
      </c>
      <c r="H2" s="21">
        <v>1901106566</v>
      </c>
      <c r="I2" s="20">
        <v>100</v>
      </c>
      <c r="J2" s="20">
        <v>42.575525210209101</v>
      </c>
      <c r="K2" s="20">
        <v>143.50286403314701</v>
      </c>
      <c r="L2" s="22">
        <v>40</v>
      </c>
      <c r="M2" s="22" t="s">
        <v>83</v>
      </c>
      <c r="N2" s="22">
        <v>16</v>
      </c>
      <c r="O2" s="20">
        <v>0</v>
      </c>
      <c r="P2" s="22" t="s">
        <v>121</v>
      </c>
      <c r="Q2" s="30">
        <v>14.426188499466701</v>
      </c>
      <c r="R2" s="30">
        <v>16.955767797333301</v>
      </c>
      <c r="S2" s="31">
        <v>15.22</v>
      </c>
    </row>
    <row r="3" spans="1:19" ht="15.75" customHeight="1">
      <c r="A3" t="str">
        <f t="shared" si="0"/>
        <v>Trastuzumab ADC_2K_loss_deglyc</v>
      </c>
      <c r="B3" s="25">
        <v>2</v>
      </c>
      <c r="C3" t="s">
        <v>19</v>
      </c>
      <c r="D3" t="s">
        <v>23</v>
      </c>
      <c r="E3" s="20">
        <v>147961.72876480399</v>
      </c>
      <c r="F3" s="20">
        <v>147961.428044</v>
      </c>
      <c r="G3" s="29">
        <v>2.0324228859672302</v>
      </c>
      <c r="H3" s="21">
        <v>570941933.5</v>
      </c>
      <c r="I3" s="20">
        <v>30.0320855628256</v>
      </c>
      <c r="J3" s="20">
        <v>12.786318159952399</v>
      </c>
      <c r="K3" s="20">
        <v>127.122482637975</v>
      </c>
      <c r="L3" s="22">
        <v>36</v>
      </c>
      <c r="M3" s="22" t="s">
        <v>122</v>
      </c>
      <c r="N3" s="22">
        <v>16</v>
      </c>
      <c r="O3" s="20">
        <v>762.28718251592397</v>
      </c>
      <c r="P3" s="22" t="s">
        <v>121</v>
      </c>
      <c r="Q3" s="30">
        <v>14.426188499466701</v>
      </c>
      <c r="R3" s="30">
        <v>16.955767797333301</v>
      </c>
      <c r="S3" s="31">
        <v>15.22</v>
      </c>
    </row>
    <row r="4" spans="1:19" s="55" customFormat="1" ht="15.75" customHeight="1">
      <c r="A4" s="55" t="str">
        <f t="shared" si="0"/>
        <v>Trastuzumab ADC_2K_loss_deglyc_A2G0F</v>
      </c>
      <c r="B4" s="56">
        <v>1</v>
      </c>
      <c r="C4" s="55" t="s">
        <v>25</v>
      </c>
      <c r="D4" s="55" t="s">
        <v>20</v>
      </c>
      <c r="E4" s="57">
        <v>148642.92660005699</v>
      </c>
      <c r="F4" s="57">
        <v>148643.746044</v>
      </c>
      <c r="G4" s="58">
        <f>ABS(E4-F4)/F4*1000000</f>
        <v>5.5128047080132028</v>
      </c>
      <c r="H4" s="59">
        <v>463118682.5</v>
      </c>
      <c r="I4" s="57">
        <v>24.360480260246501</v>
      </c>
      <c r="J4" s="57">
        <v>10.371602414529301</v>
      </c>
      <c r="K4" s="57">
        <v>91.533334895059397</v>
      </c>
      <c r="L4" s="60">
        <v>32</v>
      </c>
      <c r="M4" s="60" t="s">
        <v>87</v>
      </c>
      <c r="N4" s="60">
        <v>17</v>
      </c>
      <c r="O4" s="57">
        <v>1443.4850177693299</v>
      </c>
      <c r="P4" s="60" t="s">
        <v>123</v>
      </c>
      <c r="Q4" s="61">
        <v>14.300658556266701</v>
      </c>
      <c r="R4" s="61">
        <v>16.955767797333301</v>
      </c>
      <c r="S4" s="62">
        <v>15.22</v>
      </c>
    </row>
    <row r="5" spans="1:19" s="55" customFormat="1" ht="15.75" customHeight="1">
      <c r="A5" s="55" t="str">
        <f t="shared" si="0"/>
        <v>Trastuzumab ADC_2K_loss_deglyc</v>
      </c>
      <c r="B5" s="56">
        <v>0</v>
      </c>
      <c r="C5" s="55" t="s">
        <v>19</v>
      </c>
      <c r="D5" s="55" t="s">
        <v>27</v>
      </c>
      <c r="E5" s="57">
        <v>146437.52482935201</v>
      </c>
      <c r="F5" s="57">
        <v>146437.42404400001</v>
      </c>
      <c r="G5" s="58">
        <v>0.68824812611585795</v>
      </c>
      <c r="H5" s="59">
        <v>413822984.375</v>
      </c>
      <c r="I5" s="57">
        <v>21.767479364399598</v>
      </c>
      <c r="J5" s="57">
        <v>9.2676186644170109</v>
      </c>
      <c r="K5" s="57">
        <v>99.800943209940698</v>
      </c>
      <c r="L5" s="60">
        <v>35</v>
      </c>
      <c r="M5" s="60" t="s">
        <v>28</v>
      </c>
      <c r="N5" s="60">
        <v>16</v>
      </c>
      <c r="O5" s="57">
        <v>-761.91675293579499</v>
      </c>
      <c r="P5" s="60" t="s">
        <v>121</v>
      </c>
      <c r="Q5" s="61">
        <v>14.426188499466701</v>
      </c>
      <c r="R5" s="61">
        <v>16.955767797333301</v>
      </c>
      <c r="S5" s="62">
        <v>15.22</v>
      </c>
    </row>
    <row r="6" spans="1:19" s="55" customFormat="1" ht="15.75" customHeight="1">
      <c r="A6" s="55" t="str">
        <f t="shared" si="0"/>
        <v>Trastuzumab ADC_2K_loss_deglyc_A2G1F</v>
      </c>
      <c r="B6" s="56">
        <v>1</v>
      </c>
      <c r="C6" s="55" t="s">
        <v>29</v>
      </c>
      <c r="D6" s="55" t="s">
        <v>20</v>
      </c>
      <c r="E6" s="57">
        <v>148806.352893192</v>
      </c>
      <c r="F6" s="57">
        <v>148806.92054399999</v>
      </c>
      <c r="G6" s="58">
        <f>ABS(E6-F6)/F6*1000000</f>
        <v>3.8146801635107859</v>
      </c>
      <c r="H6" s="59">
        <v>363992760.5</v>
      </c>
      <c r="I6" s="57">
        <v>19.146363035019402</v>
      </c>
      <c r="J6" s="57">
        <v>8.1516646208128503</v>
      </c>
      <c r="K6" s="57">
        <v>88.098963114821601</v>
      </c>
      <c r="L6" s="60">
        <v>28</v>
      </c>
      <c r="M6" s="60" t="s">
        <v>124</v>
      </c>
      <c r="N6" s="60">
        <v>16</v>
      </c>
      <c r="O6" s="57">
        <v>1606.91131090414</v>
      </c>
      <c r="P6" s="60" t="s">
        <v>121</v>
      </c>
      <c r="Q6" s="61">
        <v>14.426188499466701</v>
      </c>
      <c r="R6" s="61">
        <v>16.955767797333301</v>
      </c>
      <c r="S6" s="62">
        <v>15.22</v>
      </c>
    </row>
    <row r="7" spans="1:19" s="55" customFormat="1" ht="15.75" customHeight="1">
      <c r="A7" s="55" t="str">
        <f t="shared" si="0"/>
        <v>Trastuzumab ADC_2K_loss_deglyc_A2G1F</v>
      </c>
      <c r="B7" s="56">
        <v>2</v>
      </c>
      <c r="C7" s="55" t="s">
        <v>29</v>
      </c>
      <c r="D7" s="55" t="s">
        <v>23</v>
      </c>
      <c r="E7" s="57">
        <v>149566.31897119901</v>
      </c>
      <c r="F7" s="57">
        <v>149568.922544</v>
      </c>
      <c r="G7" s="58">
        <f>ABS(E7-F7)/F7*1000000</f>
        <v>17.407177618882795</v>
      </c>
      <c r="H7" s="59">
        <v>115505724.1875</v>
      </c>
      <c r="I7" s="57">
        <v>6.0757101980554502</v>
      </c>
      <c r="J7" s="57">
        <v>2.5867655270723402</v>
      </c>
      <c r="K7" s="57">
        <v>70.077115829341295</v>
      </c>
      <c r="L7" s="60">
        <v>22</v>
      </c>
      <c r="M7" s="60" t="s">
        <v>125</v>
      </c>
      <c r="N7" s="60">
        <v>15</v>
      </c>
      <c r="O7" s="57">
        <v>2366.87738891147</v>
      </c>
      <c r="P7" s="60" t="s">
        <v>126</v>
      </c>
      <c r="Q7" s="61">
        <v>14.426188499466701</v>
      </c>
      <c r="R7" s="61">
        <v>16.8065205157333</v>
      </c>
      <c r="S7" s="62">
        <v>15.22</v>
      </c>
    </row>
    <row r="8" spans="1:19" s="55" customFormat="1" ht="15.75" customHeight="1">
      <c r="A8" s="55" t="str">
        <f t="shared" si="0"/>
        <v>Trastuzumab ADC_2K_loss_deglyc_A2G0F</v>
      </c>
      <c r="B8" s="56">
        <v>2</v>
      </c>
      <c r="C8" s="55" t="s">
        <v>25</v>
      </c>
      <c r="D8" s="55" t="s">
        <v>23</v>
      </c>
      <c r="E8" s="57">
        <v>149403.300260975</v>
      </c>
      <c r="F8" s="57">
        <v>149405.77804400001</v>
      </c>
      <c r="G8" s="58">
        <f>ABS(E8-F8)/F8*1000000</f>
        <v>16.584251676530542</v>
      </c>
      <c r="H8" s="59">
        <v>110401007.5625</v>
      </c>
      <c r="I8" s="57">
        <v>5.8071971766384598</v>
      </c>
      <c r="J8" s="57">
        <v>2.4724446979462602</v>
      </c>
      <c r="K8" s="57">
        <v>49.475449914171101</v>
      </c>
      <c r="L8" s="60">
        <v>25</v>
      </c>
      <c r="M8" s="60" t="s">
        <v>89</v>
      </c>
      <c r="N8" s="60">
        <v>12</v>
      </c>
      <c r="O8" s="57">
        <v>2203.8586786865799</v>
      </c>
      <c r="P8" s="60" t="s">
        <v>126</v>
      </c>
      <c r="Q8" s="61">
        <v>14.426188499466701</v>
      </c>
      <c r="R8" s="61">
        <v>16.8065205157333</v>
      </c>
      <c r="S8" s="62">
        <v>15.22</v>
      </c>
    </row>
    <row r="9" spans="1:19" ht="15.75" customHeight="1">
      <c r="A9">
        <f t="shared" si="0"/>
        <v>0</v>
      </c>
      <c r="E9" s="20">
        <v>150250.90736835901</v>
      </c>
      <c r="F9" s="20">
        <v>0</v>
      </c>
      <c r="G9" s="29">
        <v>0</v>
      </c>
      <c r="H9" s="21">
        <v>51497267</v>
      </c>
      <c r="I9" s="20">
        <v>2.7088048494069898</v>
      </c>
      <c r="J9" s="20">
        <v>1.1532878915546401</v>
      </c>
      <c r="K9" s="20">
        <v>43.949200973277897</v>
      </c>
      <c r="L9" s="22">
        <v>10</v>
      </c>
      <c r="M9" s="22" t="s">
        <v>93</v>
      </c>
      <c r="N9" s="22">
        <v>9</v>
      </c>
      <c r="O9" s="20">
        <v>3051.4657860713801</v>
      </c>
      <c r="P9" s="22" t="s">
        <v>127</v>
      </c>
      <c r="Q9" s="30">
        <v>14.693967542933301</v>
      </c>
      <c r="R9" s="30">
        <v>16.410630426400001</v>
      </c>
      <c r="S9" s="31">
        <v>15.22</v>
      </c>
    </row>
    <row r="10" spans="1:19" ht="15.75" customHeight="1">
      <c r="A10" t="str">
        <f t="shared" si="0"/>
        <v>Trastuzumab ADC_2K_loss_deglyc</v>
      </c>
      <c r="B10" s="25">
        <v>0</v>
      </c>
      <c r="C10" t="s">
        <v>19</v>
      </c>
      <c r="D10" t="s">
        <v>36</v>
      </c>
      <c r="E10" s="20">
        <v>147086.62366869699</v>
      </c>
      <c r="F10" s="20">
        <v>147084.24704399999</v>
      </c>
      <c r="G10" s="29">
        <v>16.157993415074198</v>
      </c>
      <c r="H10" s="21">
        <v>51446893.875</v>
      </c>
      <c r="I10" s="20">
        <v>2.70615516924713</v>
      </c>
      <c r="J10" s="20">
        <v>1.1521597763101901</v>
      </c>
      <c r="K10" s="20">
        <v>69.085891143687604</v>
      </c>
      <c r="L10" s="22">
        <v>27</v>
      </c>
      <c r="M10" s="22" t="s">
        <v>37</v>
      </c>
      <c r="N10" s="22">
        <v>14</v>
      </c>
      <c r="O10" s="20">
        <v>-112.81791359116301</v>
      </c>
      <c r="P10" s="22" t="s">
        <v>128</v>
      </c>
      <c r="Q10" s="30">
        <v>14.693967542933301</v>
      </c>
      <c r="R10" s="30">
        <v>16.955767797333301</v>
      </c>
      <c r="S10" s="31">
        <v>15.22</v>
      </c>
    </row>
    <row r="11" spans="1:19" ht="15.75" customHeight="1">
      <c r="A11" t="str">
        <f t="shared" si="0"/>
        <v>Trastuzumab ADC_2K_loss_deglyc</v>
      </c>
      <c r="B11" s="25">
        <v>0</v>
      </c>
      <c r="C11" t="s">
        <v>19</v>
      </c>
      <c r="D11" t="s">
        <v>41</v>
      </c>
      <c r="E11" s="20">
        <v>146331.609069837</v>
      </c>
      <c r="F11" s="20">
        <v>146342.360044</v>
      </c>
      <c r="G11" s="29">
        <v>73.469937435783393</v>
      </c>
      <c r="H11" s="21">
        <v>50615022.28125</v>
      </c>
      <c r="I11" s="20">
        <v>2.6623979310406001</v>
      </c>
      <c r="J11" s="20">
        <v>1.1335299023262799</v>
      </c>
      <c r="K11" s="20">
        <v>53.203686755505402</v>
      </c>
      <c r="L11" s="22">
        <v>13</v>
      </c>
      <c r="M11" s="22" t="s">
        <v>117</v>
      </c>
      <c r="N11" s="22">
        <v>11</v>
      </c>
      <c r="O11" s="20">
        <v>-867.83251245110296</v>
      </c>
      <c r="P11" s="22" t="s">
        <v>129</v>
      </c>
      <c r="Q11" s="30">
        <v>14.426188499466701</v>
      </c>
      <c r="R11" s="30">
        <v>16.675878655999998</v>
      </c>
      <c r="S11" s="31">
        <v>15.22</v>
      </c>
    </row>
    <row r="12" spans="1:19" ht="15.75" customHeight="1">
      <c r="A12">
        <f t="shared" si="0"/>
        <v>0</v>
      </c>
      <c r="E12" s="20">
        <v>150411.05881888399</v>
      </c>
      <c r="F12" s="20">
        <v>0</v>
      </c>
      <c r="G12" s="29">
        <v>0</v>
      </c>
      <c r="H12" s="21">
        <v>50584047.9375</v>
      </c>
      <c r="I12" s="20">
        <v>2.6607686953572101</v>
      </c>
      <c r="J12" s="20">
        <v>1.13283624667716</v>
      </c>
      <c r="K12" s="20">
        <v>54.611760432996398</v>
      </c>
      <c r="L12" s="22">
        <v>15</v>
      </c>
      <c r="M12" s="22" t="s">
        <v>45</v>
      </c>
      <c r="N12" s="22">
        <v>9</v>
      </c>
      <c r="O12" s="20">
        <v>3211.6172365963298</v>
      </c>
      <c r="P12" s="22" t="s">
        <v>130</v>
      </c>
      <c r="Q12" s="30">
        <v>14.560857762133301</v>
      </c>
      <c r="R12" s="30">
        <v>16.546949902400002</v>
      </c>
      <c r="S12" s="31">
        <v>15.22</v>
      </c>
    </row>
    <row r="13" spans="1:19" ht="15.75" customHeight="1">
      <c r="A13">
        <f t="shared" si="0"/>
        <v>0</v>
      </c>
      <c r="E13" s="20">
        <v>148056.80583893901</v>
      </c>
      <c r="F13" s="20">
        <v>0</v>
      </c>
      <c r="G13" s="29">
        <v>0</v>
      </c>
      <c r="H13" s="21">
        <v>46032043.6875</v>
      </c>
      <c r="I13" s="20">
        <v>2.4213290066628899</v>
      </c>
      <c r="J13" s="20">
        <v>1.03089354165387</v>
      </c>
      <c r="K13" s="20">
        <v>48.4529995542431</v>
      </c>
      <c r="L13" s="22">
        <v>22</v>
      </c>
      <c r="M13" s="22" t="s">
        <v>131</v>
      </c>
      <c r="N13" s="22">
        <v>12</v>
      </c>
      <c r="O13" s="20">
        <v>857.36425665122795</v>
      </c>
      <c r="P13" s="22" t="s">
        <v>130</v>
      </c>
      <c r="Q13" s="30">
        <v>14.560857762133301</v>
      </c>
      <c r="R13" s="30">
        <v>16.546949902400002</v>
      </c>
      <c r="S13" s="31">
        <v>15.35</v>
      </c>
    </row>
    <row r="14" spans="1:19" ht="15.75" customHeight="1">
      <c r="A14">
        <f t="shared" si="0"/>
        <v>0</v>
      </c>
      <c r="E14" s="20">
        <v>148433.88653015799</v>
      </c>
      <c r="F14" s="20">
        <v>0</v>
      </c>
      <c r="G14" s="29">
        <v>0</v>
      </c>
      <c r="H14" s="21">
        <v>45470084.46875</v>
      </c>
      <c r="I14" s="20">
        <v>2.3917694423428899</v>
      </c>
      <c r="J14" s="20">
        <v>1.0183084018947699</v>
      </c>
      <c r="K14" s="20">
        <v>46.304279410365602</v>
      </c>
      <c r="L14" s="22">
        <v>14</v>
      </c>
      <c r="M14" s="22" t="s">
        <v>132</v>
      </c>
      <c r="N14" s="22">
        <v>10</v>
      </c>
      <c r="O14" s="20">
        <v>1234.4449478701899</v>
      </c>
      <c r="P14" s="22" t="s">
        <v>129</v>
      </c>
      <c r="Q14" s="30">
        <v>14.426188499466701</v>
      </c>
      <c r="R14" s="30">
        <v>16.675878655999998</v>
      </c>
      <c r="S14" s="31">
        <v>15.22</v>
      </c>
    </row>
    <row r="15" spans="1:19" ht="15.75" customHeight="1">
      <c r="A15">
        <f t="shared" si="0"/>
        <v>0</v>
      </c>
      <c r="E15" s="20">
        <v>147875.430629854</v>
      </c>
      <c r="F15" s="20">
        <v>0</v>
      </c>
      <c r="G15" s="29">
        <v>0</v>
      </c>
      <c r="H15" s="21">
        <v>30866411.5</v>
      </c>
      <c r="I15" s="20">
        <v>1.62360236182693</v>
      </c>
      <c r="J15" s="20">
        <v>0.69125723287317598</v>
      </c>
      <c r="K15" s="20">
        <v>42.534278773028603</v>
      </c>
      <c r="L15" s="22">
        <v>12</v>
      </c>
      <c r="M15" s="22" t="s">
        <v>133</v>
      </c>
      <c r="N15" s="22">
        <v>6</v>
      </c>
      <c r="O15" s="20">
        <v>675.98904756602099</v>
      </c>
      <c r="P15" s="22" t="s">
        <v>134</v>
      </c>
      <c r="Q15" s="30">
        <v>14.8232726512</v>
      </c>
      <c r="R15" s="30">
        <v>16.1479604370667</v>
      </c>
      <c r="S15" s="31">
        <v>15.35</v>
      </c>
    </row>
    <row r="16" spans="1:19" ht="15.75" customHeight="1">
      <c r="A16">
        <f t="shared" si="0"/>
        <v>0</v>
      </c>
      <c r="E16" s="20">
        <v>148971.88950019999</v>
      </c>
      <c r="F16" s="20">
        <v>0</v>
      </c>
      <c r="G16" s="29">
        <v>0</v>
      </c>
      <c r="H16" s="21">
        <v>26764685.125</v>
      </c>
      <c r="I16" s="20">
        <v>1.40784770147382</v>
      </c>
      <c r="J16" s="20">
        <v>0.59939855306233503</v>
      </c>
      <c r="K16" s="20">
        <v>36.889033637373103</v>
      </c>
      <c r="L16" s="22">
        <v>14</v>
      </c>
      <c r="M16" s="22" t="s">
        <v>135</v>
      </c>
      <c r="N16" s="22">
        <v>7</v>
      </c>
      <c r="O16" s="20">
        <v>1772.4479179125001</v>
      </c>
      <c r="P16" s="22" t="s">
        <v>136</v>
      </c>
      <c r="Q16" s="30">
        <v>14.426188499466701</v>
      </c>
      <c r="R16" s="30">
        <v>16.410630426400001</v>
      </c>
      <c r="S16" s="31">
        <v>15.22</v>
      </c>
    </row>
    <row r="17" spans="1:19" ht="15.75" customHeight="1">
      <c r="A17">
        <f t="shared" si="0"/>
        <v>0</v>
      </c>
      <c r="E17" s="20">
        <v>159247.88404285701</v>
      </c>
      <c r="F17" s="20">
        <v>0</v>
      </c>
      <c r="G17" s="29">
        <v>0</v>
      </c>
      <c r="H17" s="21">
        <v>24294931.375</v>
      </c>
      <c r="I17" s="20">
        <v>1.2779363136681201</v>
      </c>
      <c r="J17" s="20">
        <v>0.54408809739618902</v>
      </c>
      <c r="K17" s="20">
        <v>34.235147854061502</v>
      </c>
      <c r="L17" s="22">
        <v>10</v>
      </c>
      <c r="M17" s="22" t="s">
        <v>49</v>
      </c>
      <c r="N17" s="22">
        <v>6</v>
      </c>
      <c r="O17" s="20">
        <v>12048.4424605689</v>
      </c>
      <c r="P17" s="22" t="s">
        <v>137</v>
      </c>
      <c r="Q17" s="30">
        <v>14.426188499466701</v>
      </c>
      <c r="R17" s="30">
        <v>15.748460489333301</v>
      </c>
      <c r="S17" s="31">
        <v>15.22</v>
      </c>
    </row>
    <row r="18" spans="1:19" ht="15.75" customHeight="1">
      <c r="A18">
        <f t="shared" si="0"/>
        <v>0</v>
      </c>
      <c r="E18" s="20">
        <v>148526.96257285899</v>
      </c>
      <c r="F18" s="20">
        <v>0</v>
      </c>
      <c r="G18" s="29">
        <v>0</v>
      </c>
      <c r="H18" s="21">
        <v>23923924.125</v>
      </c>
      <c r="I18" s="20">
        <v>1.25842103004196</v>
      </c>
      <c r="J18" s="20">
        <v>0.53577936289608896</v>
      </c>
      <c r="K18" s="20">
        <v>42.989862090219802</v>
      </c>
      <c r="L18" s="22">
        <v>19</v>
      </c>
      <c r="M18" s="22" t="s">
        <v>138</v>
      </c>
      <c r="N18" s="22">
        <v>8</v>
      </c>
      <c r="O18" s="20">
        <v>1327.52099057075</v>
      </c>
      <c r="P18" s="22" t="s">
        <v>139</v>
      </c>
      <c r="Q18" s="30">
        <v>14.560857762133301</v>
      </c>
      <c r="R18" s="30">
        <v>16.0192575501333</v>
      </c>
      <c r="S18" s="31">
        <v>15.35</v>
      </c>
    </row>
    <row r="19" spans="1:19" ht="15.75" customHeight="1">
      <c r="A19" t="str">
        <f t="shared" si="0"/>
        <v>Trastuzumab ADC_1K_loss_deglyc</v>
      </c>
      <c r="B19" s="25">
        <v>0</v>
      </c>
      <c r="C19" t="s">
        <v>61</v>
      </c>
      <c r="D19" t="s">
        <v>62</v>
      </c>
      <c r="E19" s="20">
        <v>147308.60802460701</v>
      </c>
      <c r="F19" s="20">
        <v>147299.49804400001</v>
      </c>
      <c r="G19" s="29">
        <v>61.842825951153401</v>
      </c>
      <c r="H19" s="21">
        <v>17349546.625</v>
      </c>
      <c r="I19" s="20">
        <v>0.91260253725765905</v>
      </c>
      <c r="J19" s="20">
        <v>0.38854532331914199</v>
      </c>
      <c r="K19" s="20">
        <v>36.706706514155698</v>
      </c>
      <c r="L19" s="22">
        <v>14</v>
      </c>
      <c r="M19" s="22" t="s">
        <v>135</v>
      </c>
      <c r="N19" s="22">
        <v>8</v>
      </c>
      <c r="O19" s="20">
        <v>109.166442319314</v>
      </c>
      <c r="P19" s="22" t="s">
        <v>140</v>
      </c>
      <c r="Q19" s="30">
        <v>14.693967542933301</v>
      </c>
      <c r="R19" s="30">
        <v>16.1479604370667</v>
      </c>
      <c r="S19" s="31">
        <v>15.35</v>
      </c>
    </row>
    <row r="20" spans="1:19" ht="15.75" customHeight="1">
      <c r="A20">
        <f t="shared" si="0"/>
        <v>0</v>
      </c>
      <c r="E20" s="20">
        <v>147882.04507346399</v>
      </c>
      <c r="F20" s="20">
        <v>0</v>
      </c>
      <c r="G20" s="29">
        <v>0</v>
      </c>
      <c r="H20" s="21">
        <v>16014726.75</v>
      </c>
      <c r="I20" s="20">
        <v>0.84238976641206897</v>
      </c>
      <c r="J20" s="20">
        <v>0.35865186736699201</v>
      </c>
      <c r="K20" s="20">
        <v>63.754649223723398</v>
      </c>
      <c r="L20" s="22">
        <v>20</v>
      </c>
      <c r="M20" s="22" t="s">
        <v>141</v>
      </c>
      <c r="N20" s="22">
        <v>3</v>
      </c>
      <c r="O20" s="20">
        <v>682.60349117554097</v>
      </c>
      <c r="P20" s="22" t="s">
        <v>142</v>
      </c>
      <c r="Q20" s="30">
        <v>14.426188499466701</v>
      </c>
      <c r="R20" s="30">
        <v>15.8874930336</v>
      </c>
      <c r="S20" s="31">
        <v>14.96</v>
      </c>
    </row>
    <row r="21" spans="1:19" ht="15.75" customHeight="1">
      <c r="A21">
        <f t="shared" si="0"/>
        <v>0</v>
      </c>
      <c r="E21" s="20">
        <v>75044.239543474498</v>
      </c>
      <c r="F21" s="20">
        <v>0</v>
      </c>
      <c r="G21" s="29">
        <v>0</v>
      </c>
      <c r="H21" s="21">
        <v>14952883.625</v>
      </c>
      <c r="I21" s="20">
        <v>0.78653580163299996</v>
      </c>
      <c r="J21" s="20">
        <v>0.33487174851157803</v>
      </c>
      <c r="K21" s="20">
        <v>15.320635764163301</v>
      </c>
      <c r="L21" s="22">
        <v>8</v>
      </c>
      <c r="M21" s="22" t="s">
        <v>143</v>
      </c>
      <c r="N21" s="22">
        <v>8</v>
      </c>
      <c r="O21" s="20">
        <v>-72155.202038813499</v>
      </c>
      <c r="P21" s="22" t="s">
        <v>139</v>
      </c>
      <c r="Q21" s="30">
        <v>14.560857762133301</v>
      </c>
      <c r="R21" s="30">
        <v>16.0192575501333</v>
      </c>
      <c r="S21" s="31">
        <v>15.22</v>
      </c>
    </row>
    <row r="22" spans="1:19" ht="15.75" customHeight="1">
      <c r="A22" t="str">
        <f t="shared" si="0"/>
        <v>Trastuzumab ADC_intact_deglyc</v>
      </c>
      <c r="B22" s="25">
        <v>2</v>
      </c>
      <c r="C22" t="s">
        <v>144</v>
      </c>
      <c r="D22" t="s">
        <v>23</v>
      </c>
      <c r="E22" s="20">
        <v>148215.90271206401</v>
      </c>
      <c r="F22" s="20">
        <v>148217.77404399999</v>
      </c>
      <c r="G22" s="29">
        <v>12.625716282810901</v>
      </c>
      <c r="H22" s="21">
        <v>11056989.8125</v>
      </c>
      <c r="I22" s="20">
        <v>0.58160809695450599</v>
      </c>
      <c r="J22" s="20">
        <v>0.24762270194348299</v>
      </c>
      <c r="K22" s="20">
        <v>35.128765134341599</v>
      </c>
      <c r="L22" s="22">
        <v>11</v>
      </c>
      <c r="M22" s="22" t="s">
        <v>145</v>
      </c>
      <c r="N22" s="22">
        <v>4</v>
      </c>
      <c r="O22" s="20">
        <v>1016.46112977591</v>
      </c>
      <c r="P22" s="22" t="s">
        <v>146</v>
      </c>
      <c r="Q22" s="30">
        <v>14.9598547072</v>
      </c>
      <c r="R22" s="30">
        <v>16.410630426400001</v>
      </c>
      <c r="S22" s="31">
        <v>15.35</v>
      </c>
    </row>
    <row r="23" spans="1:19" ht="15.75" customHeight="1">
      <c r="A23">
        <f t="shared" si="0"/>
        <v>0</v>
      </c>
      <c r="E23" s="20">
        <v>134223.779269583</v>
      </c>
      <c r="F23" s="20">
        <v>0</v>
      </c>
      <c r="G23" s="29">
        <v>0</v>
      </c>
      <c r="H23" s="21">
        <v>10989977.75</v>
      </c>
      <c r="I23" s="20">
        <v>0.57808319147966802</v>
      </c>
      <c r="J23" s="20">
        <v>0.246121954924407</v>
      </c>
      <c r="K23" s="20">
        <v>18.435728449949099</v>
      </c>
      <c r="L23" s="22">
        <v>9</v>
      </c>
      <c r="M23" s="22" t="s">
        <v>147</v>
      </c>
      <c r="N23" s="22">
        <v>4</v>
      </c>
      <c r="O23" s="20">
        <v>-12975.662312704901</v>
      </c>
      <c r="P23" s="22" t="s">
        <v>148</v>
      </c>
      <c r="Q23" s="30">
        <v>14.693967542933301</v>
      </c>
      <c r="R23" s="30">
        <v>15.618232174133301</v>
      </c>
      <c r="S23" s="31">
        <v>15.09</v>
      </c>
    </row>
    <row r="24" spans="1:19" ht="15.75" customHeight="1">
      <c r="A24">
        <f t="shared" si="0"/>
        <v>0</v>
      </c>
      <c r="E24" s="20">
        <v>73113.552617741501</v>
      </c>
      <c r="F24" s="20">
        <v>0</v>
      </c>
      <c r="G24" s="29">
        <v>0</v>
      </c>
      <c r="H24" s="21">
        <v>8288023.875</v>
      </c>
      <c r="I24" s="20">
        <v>0.43595788916183797</v>
      </c>
      <c r="J24" s="20">
        <v>0.18561136100599401</v>
      </c>
      <c r="K24" s="20">
        <v>25.110114679776999</v>
      </c>
      <c r="L24" s="22">
        <v>12</v>
      </c>
      <c r="M24" s="22" t="s">
        <v>149</v>
      </c>
      <c r="N24" s="22">
        <v>4</v>
      </c>
      <c r="O24" s="20">
        <v>-74085.888964546495</v>
      </c>
      <c r="P24" s="22" t="s">
        <v>150</v>
      </c>
      <c r="Q24" s="30">
        <v>14.426188499466701</v>
      </c>
      <c r="R24" s="30">
        <v>15.357247608</v>
      </c>
      <c r="S24" s="31">
        <v>14.96</v>
      </c>
    </row>
    <row r="25" spans="1:19" ht="15.75" customHeight="1">
      <c r="A25">
        <f t="shared" si="0"/>
        <v>0</v>
      </c>
      <c r="E25" s="20">
        <v>87323.414927103106</v>
      </c>
      <c r="F25" s="20">
        <v>0</v>
      </c>
      <c r="G25" s="29">
        <v>0</v>
      </c>
      <c r="H25" s="21">
        <v>8201557.75</v>
      </c>
      <c r="I25" s="20">
        <v>0.43140966873085601</v>
      </c>
      <c r="J25" s="20">
        <v>0.18367493226978501</v>
      </c>
      <c r="K25" s="20">
        <v>16.4336922823442</v>
      </c>
      <c r="L25" s="22">
        <v>8</v>
      </c>
      <c r="M25" s="22" t="s">
        <v>151</v>
      </c>
      <c r="N25" s="22">
        <v>3</v>
      </c>
      <c r="O25" s="20">
        <v>-59876.026655184898</v>
      </c>
      <c r="P25" s="22" t="s">
        <v>152</v>
      </c>
      <c r="Q25" s="30">
        <v>14.8232726512</v>
      </c>
      <c r="R25" s="30">
        <v>15.618232174133301</v>
      </c>
      <c r="S25" s="31">
        <v>15.22</v>
      </c>
    </row>
    <row r="26" spans="1:19" ht="15.75" customHeight="1">
      <c r="A26">
        <f t="shared" si="0"/>
        <v>0</v>
      </c>
      <c r="E26" s="20">
        <v>99710.896642352105</v>
      </c>
      <c r="F26" s="20">
        <v>0</v>
      </c>
      <c r="G26" s="29">
        <v>0</v>
      </c>
      <c r="H26" s="21">
        <v>7394523.9375</v>
      </c>
      <c r="I26" s="20">
        <v>0.38895894431196498</v>
      </c>
      <c r="J26" s="20">
        <v>0.16560131339290399</v>
      </c>
      <c r="K26" s="20">
        <v>15.360212684578499</v>
      </c>
      <c r="L26" s="22">
        <v>9</v>
      </c>
      <c r="M26" s="22" t="s">
        <v>153</v>
      </c>
      <c r="N26" s="22">
        <v>4</v>
      </c>
      <c r="O26" s="20">
        <v>-47488.544939935899</v>
      </c>
      <c r="P26" s="22" t="s">
        <v>139</v>
      </c>
      <c r="Q26" s="30">
        <v>14.560857762133301</v>
      </c>
      <c r="R26" s="30">
        <v>16.0192575501333</v>
      </c>
      <c r="S26" s="31">
        <v>15.09</v>
      </c>
    </row>
    <row r="27" spans="1:19" ht="15.75" customHeight="1">
      <c r="A27">
        <f t="shared" si="0"/>
        <v>0</v>
      </c>
      <c r="E27" s="20">
        <v>87326.550248417101</v>
      </c>
      <c r="F27" s="20">
        <v>0</v>
      </c>
      <c r="G27" s="29">
        <v>0</v>
      </c>
      <c r="H27" s="21">
        <v>6228098.125</v>
      </c>
      <c r="I27" s="20">
        <v>0.32760382801856303</v>
      </c>
      <c r="J27" s="20">
        <v>0.13947905038765299</v>
      </c>
      <c r="K27" s="20">
        <v>25.456825788524199</v>
      </c>
      <c r="L27" s="22">
        <v>8</v>
      </c>
      <c r="M27" s="22" t="s">
        <v>151</v>
      </c>
      <c r="N27" s="22">
        <v>3</v>
      </c>
      <c r="O27" s="20">
        <v>-59872.891333870903</v>
      </c>
      <c r="P27" s="22" t="s">
        <v>154</v>
      </c>
      <c r="Q27" s="30">
        <v>14.426188499466701</v>
      </c>
      <c r="R27" s="30">
        <v>15.2203273085333</v>
      </c>
      <c r="S27" s="31">
        <v>14.83</v>
      </c>
    </row>
    <row r="28" spans="1:19" ht="15.75" customHeight="1">
      <c r="A28">
        <f t="shared" si="0"/>
        <v>0</v>
      </c>
      <c r="E28" s="20">
        <v>49119.341840248999</v>
      </c>
      <c r="F28" s="20">
        <v>0</v>
      </c>
      <c r="G28" s="29">
        <v>0</v>
      </c>
      <c r="H28" s="21">
        <v>5316092.875</v>
      </c>
      <c r="I28" s="20">
        <v>0.27963150829682898</v>
      </c>
      <c r="J28" s="20">
        <v>0.11905458331060501</v>
      </c>
      <c r="K28" s="20">
        <v>14.605090261946801</v>
      </c>
      <c r="L28" s="22">
        <v>10</v>
      </c>
      <c r="M28" s="22" t="s">
        <v>155</v>
      </c>
      <c r="N28" s="22">
        <v>3</v>
      </c>
      <c r="O28" s="20">
        <v>-98080.099742039005</v>
      </c>
      <c r="P28" s="22" t="s">
        <v>156</v>
      </c>
      <c r="Q28" s="30">
        <v>14.9598547072</v>
      </c>
      <c r="R28" s="30">
        <v>15.748460489333301</v>
      </c>
      <c r="S28" s="31">
        <v>15.35</v>
      </c>
    </row>
    <row r="29" spans="1:19" ht="15.75" customHeight="1">
      <c r="A29">
        <f t="shared" si="0"/>
        <v>0</v>
      </c>
      <c r="E29" s="20">
        <v>141202.84245519401</v>
      </c>
      <c r="F29" s="20">
        <v>0</v>
      </c>
      <c r="G29" s="29">
        <v>0</v>
      </c>
      <c r="H29" s="21">
        <v>5279457.25</v>
      </c>
      <c r="I29" s="20">
        <v>0.27770442790796901</v>
      </c>
      <c r="J29" s="20">
        <v>0.118234118713824</v>
      </c>
      <c r="K29" s="20">
        <v>17.9641492128778</v>
      </c>
      <c r="L29" s="22">
        <v>10</v>
      </c>
      <c r="M29" s="22" t="s">
        <v>157</v>
      </c>
      <c r="N29" s="22">
        <v>3</v>
      </c>
      <c r="O29" s="20">
        <v>-5996.5991270935301</v>
      </c>
      <c r="P29" s="22" t="s">
        <v>158</v>
      </c>
      <c r="Q29" s="30">
        <v>15.090796215999999</v>
      </c>
      <c r="R29" s="30">
        <v>16.0192575501333</v>
      </c>
      <c r="S29" s="31">
        <v>15.62</v>
      </c>
    </row>
    <row r="30" spans="1:19" ht="15.75" customHeight="1">
      <c r="A30">
        <f t="shared" si="0"/>
        <v>0</v>
      </c>
      <c r="E30" s="20">
        <v>75280.975618535696</v>
      </c>
      <c r="F30" s="20">
        <v>0</v>
      </c>
      <c r="G30" s="29">
        <v>0</v>
      </c>
      <c r="H30" s="21">
        <v>4910441.125</v>
      </c>
      <c r="I30" s="20">
        <v>0.25829384974907399</v>
      </c>
      <c r="J30" s="20">
        <v>0.109969963116336</v>
      </c>
      <c r="K30" s="20">
        <v>17.646606754050101</v>
      </c>
      <c r="L30" s="22">
        <v>7</v>
      </c>
      <c r="M30" s="22" t="s">
        <v>159</v>
      </c>
      <c r="N30" s="22">
        <v>3</v>
      </c>
      <c r="O30" s="20">
        <v>-71918.4659637523</v>
      </c>
      <c r="P30" s="22" t="s">
        <v>160</v>
      </c>
      <c r="Q30" s="30">
        <v>15.090796215999999</v>
      </c>
      <c r="R30" s="30">
        <v>15.8874930336</v>
      </c>
      <c r="S30" s="31">
        <v>15.48</v>
      </c>
    </row>
    <row r="31" spans="1:19" ht="15.75" customHeight="1">
      <c r="A31">
        <f t="shared" si="0"/>
        <v>0</v>
      </c>
      <c r="E31" s="20">
        <v>74703.708096918504</v>
      </c>
      <c r="F31" s="20">
        <v>0</v>
      </c>
      <c r="G31" s="29">
        <v>0</v>
      </c>
      <c r="H31" s="21">
        <v>4275456.3125</v>
      </c>
      <c r="I31" s="20">
        <v>0.22489303734845101</v>
      </c>
      <c r="J31" s="20">
        <v>9.5749391812294499E-2</v>
      </c>
      <c r="K31" s="20">
        <v>28.157872665655901</v>
      </c>
      <c r="L31" s="22">
        <v>14</v>
      </c>
      <c r="M31" s="22" t="s">
        <v>161</v>
      </c>
      <c r="N31" s="22">
        <v>4</v>
      </c>
      <c r="O31" s="20">
        <v>-72495.733485369507</v>
      </c>
      <c r="P31" s="22" t="s">
        <v>162</v>
      </c>
      <c r="Q31" s="30">
        <v>14.693967542933301</v>
      </c>
      <c r="R31" s="30">
        <v>16.675878655999998</v>
      </c>
      <c r="S31" s="31">
        <v>14.96</v>
      </c>
    </row>
    <row r="32" spans="1:19" ht="15.75" customHeight="1">
      <c r="A32">
        <f t="shared" si="0"/>
        <v>0</v>
      </c>
      <c r="E32" s="20">
        <v>67710.481709570304</v>
      </c>
      <c r="F32" s="20">
        <v>0</v>
      </c>
      <c r="G32" s="29">
        <v>0</v>
      </c>
      <c r="H32" s="21">
        <v>3759069.0625</v>
      </c>
      <c r="I32" s="20">
        <v>0.197730580469275</v>
      </c>
      <c r="J32" s="20">
        <v>8.4184833135988901E-2</v>
      </c>
      <c r="K32" s="20">
        <v>14.071698554850199</v>
      </c>
      <c r="L32" s="22">
        <v>9</v>
      </c>
      <c r="M32" s="22" t="s">
        <v>163</v>
      </c>
      <c r="N32" s="22">
        <v>3</v>
      </c>
      <c r="O32" s="20">
        <v>-79488.959872717707</v>
      </c>
      <c r="P32" s="22" t="s">
        <v>164</v>
      </c>
      <c r="Q32" s="30">
        <v>15.2203273085333</v>
      </c>
      <c r="R32" s="30">
        <v>16.0192575501333</v>
      </c>
      <c r="S32" s="31">
        <v>15.62</v>
      </c>
    </row>
    <row r="33" spans="1:19" ht="15.75" customHeight="1">
      <c r="A33">
        <f t="shared" si="0"/>
        <v>0</v>
      </c>
      <c r="E33" s="20">
        <v>37817.242747072298</v>
      </c>
      <c r="F33" s="20">
        <v>0</v>
      </c>
      <c r="G33" s="29">
        <v>0</v>
      </c>
      <c r="H33" s="21">
        <v>855032.1640625</v>
      </c>
      <c r="I33" s="20">
        <v>4.4975499681073998E-2</v>
      </c>
      <c r="J33" s="20">
        <v>1.91485552051332E-2</v>
      </c>
      <c r="K33" s="20">
        <v>38.1937226946538</v>
      </c>
      <c r="L33" s="22">
        <v>6</v>
      </c>
      <c r="M33" s="22" t="s">
        <v>165</v>
      </c>
      <c r="N33" s="22">
        <v>4</v>
      </c>
      <c r="O33" s="20">
        <v>-109382.198835216</v>
      </c>
      <c r="P33" s="22" t="s">
        <v>166</v>
      </c>
      <c r="Q33" s="30">
        <v>13.771064062666699</v>
      </c>
      <c r="R33" s="30">
        <v>14.8232726512</v>
      </c>
      <c r="S33" s="31">
        <v>14.16</v>
      </c>
    </row>
    <row r="34" spans="1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1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1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1:19" ht="15.75" customHeight="1"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1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1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1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1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1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1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1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1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1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1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1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20"/>
      <c r="F55" s="20"/>
      <c r="G55" s="29"/>
      <c r="H55" s="21"/>
      <c r="I55" s="20"/>
      <c r="J55" s="20"/>
      <c r="K55" s="20"/>
      <c r="L55" s="22"/>
      <c r="M55" s="22"/>
      <c r="N55" s="22"/>
      <c r="O55" s="20"/>
      <c r="P55" s="22"/>
      <c r="Q55" s="30"/>
      <c r="R55" s="30"/>
      <c r="S55" s="31"/>
    </row>
    <row r="56" spans="5:19" ht="15.75" customHeight="1">
      <c r="E56" s="20"/>
      <c r="F56" s="20"/>
      <c r="G56" s="29"/>
      <c r="H56" s="21"/>
      <c r="I56" s="20"/>
      <c r="J56" s="20"/>
      <c r="K56" s="20"/>
      <c r="L56" s="22"/>
      <c r="M56" s="22"/>
      <c r="N56" s="22"/>
      <c r="O56" s="20"/>
      <c r="P56" s="22"/>
      <c r="Q56" s="30"/>
      <c r="R56" s="30"/>
      <c r="S56" s="31"/>
    </row>
    <row r="57" spans="5:19" ht="15.75" customHeight="1">
      <c r="E57" s="20"/>
      <c r="F57" s="20"/>
      <c r="G57" s="29"/>
      <c r="H57" s="21"/>
      <c r="I57" s="20"/>
      <c r="J57" s="20"/>
      <c r="K57" s="20"/>
      <c r="L57" s="22"/>
      <c r="M57" s="22"/>
      <c r="N57" s="22"/>
      <c r="O57" s="20"/>
      <c r="P57" s="22"/>
      <c r="Q57" s="30"/>
      <c r="R57" s="30"/>
      <c r="S57" s="31"/>
    </row>
    <row r="58" spans="5:19" ht="15.75" customHeight="1">
      <c r="E58" s="20"/>
      <c r="F58" s="20"/>
      <c r="G58" s="29"/>
      <c r="H58" s="21"/>
      <c r="I58" s="20"/>
      <c r="J58" s="20"/>
      <c r="K58" s="20"/>
      <c r="L58" s="22"/>
      <c r="M58" s="22"/>
      <c r="N58" s="22"/>
      <c r="O58" s="20"/>
      <c r="P58" s="22"/>
      <c r="Q58" s="30"/>
      <c r="R58" s="30"/>
      <c r="S58" s="31"/>
    </row>
    <row r="59" spans="5:19" ht="15.75" customHeight="1">
      <c r="E59" s="20"/>
      <c r="F59" s="20"/>
      <c r="G59" s="29"/>
      <c r="H59" s="21"/>
      <c r="I59" s="20"/>
      <c r="J59" s="20"/>
      <c r="K59" s="20"/>
      <c r="L59" s="22"/>
      <c r="M59" s="22"/>
      <c r="N59" s="22"/>
      <c r="O59" s="20"/>
      <c r="P59" s="22"/>
      <c r="Q59" s="30"/>
      <c r="R59" s="30"/>
      <c r="S59" s="31"/>
    </row>
    <row r="60" spans="5:19" ht="15.75" customHeight="1">
      <c r="E60" s="20"/>
      <c r="F60" s="20"/>
      <c r="G60" s="29"/>
      <c r="H60" s="21"/>
      <c r="I60" s="20"/>
      <c r="J60" s="20"/>
      <c r="K60" s="20"/>
      <c r="L60" s="22"/>
      <c r="M60" s="22"/>
      <c r="N60" s="22"/>
      <c r="O60" s="20"/>
      <c r="P60" s="22"/>
      <c r="Q60" s="30"/>
      <c r="R60" s="30"/>
      <c r="S60" s="31"/>
    </row>
    <row r="61" spans="5:19" ht="15.75" customHeight="1">
      <c r="E61" s="20"/>
      <c r="F61" s="20"/>
      <c r="G61" s="29"/>
      <c r="H61" s="21"/>
      <c r="I61" s="20"/>
      <c r="J61" s="20"/>
      <c r="K61" s="20"/>
      <c r="L61" s="22"/>
      <c r="M61" s="22"/>
      <c r="N61" s="22"/>
      <c r="O61" s="20"/>
      <c r="P61" s="22"/>
      <c r="Q61" s="30"/>
      <c r="R61" s="30"/>
      <c r="S61" s="31"/>
    </row>
    <row r="62" spans="5:19" ht="15.75" customHeight="1">
      <c r="E62" s="20"/>
      <c r="F62" s="20"/>
      <c r="G62" s="29"/>
      <c r="H62" s="21"/>
      <c r="I62" s="20"/>
      <c r="J62" s="20"/>
      <c r="K62" s="20"/>
      <c r="L62" s="22"/>
      <c r="M62" s="22"/>
      <c r="N62" s="22"/>
      <c r="O62" s="20"/>
      <c r="P62" s="22"/>
      <c r="Q62" s="30"/>
      <c r="R62" s="30"/>
      <c r="S62" s="31"/>
    </row>
    <row r="63" spans="5:19" ht="15.75" customHeight="1">
      <c r="E63" s="20"/>
      <c r="F63" s="20"/>
      <c r="G63" s="29"/>
      <c r="H63" s="21"/>
      <c r="I63" s="20"/>
      <c r="J63" s="20"/>
      <c r="K63" s="20"/>
      <c r="L63" s="22"/>
      <c r="M63" s="22"/>
      <c r="N63" s="22"/>
      <c r="O63" s="20"/>
      <c r="P63" s="22"/>
      <c r="Q63" s="30"/>
      <c r="R63" s="30"/>
      <c r="S63" s="31"/>
    </row>
    <row r="64" spans="5:19" ht="15.75" customHeight="1">
      <c r="E64" s="20"/>
      <c r="F64" s="20"/>
      <c r="G64" s="29"/>
      <c r="H64" s="21"/>
      <c r="I64" s="20"/>
      <c r="J64" s="20"/>
      <c r="K64" s="20"/>
      <c r="L64" s="22"/>
      <c r="M64" s="22"/>
      <c r="N64" s="22"/>
      <c r="O64" s="20"/>
      <c r="P64" s="22"/>
      <c r="Q64" s="30"/>
      <c r="R64" s="30"/>
      <c r="S64" s="31"/>
    </row>
    <row r="65" spans="5:19" ht="15.75" customHeight="1">
      <c r="E65" s="20"/>
      <c r="F65" s="20"/>
      <c r="G65" s="29"/>
      <c r="H65" s="21"/>
      <c r="I65" s="20"/>
      <c r="J65" s="20"/>
      <c r="K65" s="20"/>
      <c r="L65" s="22"/>
      <c r="M65" s="22"/>
      <c r="N65" s="22"/>
      <c r="O65" s="20"/>
      <c r="P65" s="22"/>
      <c r="Q65" s="30"/>
      <c r="R65" s="30"/>
      <c r="S65" s="31"/>
    </row>
    <row r="66" spans="5:19" ht="15.75" customHeight="1">
      <c r="E66" s="20"/>
      <c r="F66" s="20"/>
      <c r="G66" s="29"/>
      <c r="H66" s="21"/>
      <c r="I66" s="20"/>
      <c r="J66" s="20"/>
      <c r="K66" s="20"/>
      <c r="L66" s="22"/>
      <c r="M66" s="22"/>
      <c r="N66" s="22"/>
      <c r="O66" s="20"/>
      <c r="P66" s="22"/>
      <c r="Q66" s="30"/>
      <c r="R66" s="30"/>
      <c r="S66" s="31"/>
    </row>
    <row r="67" spans="5:19" ht="15.75" customHeight="1">
      <c r="E67" s="20"/>
      <c r="F67" s="20"/>
      <c r="G67" s="29"/>
      <c r="H67" s="21"/>
      <c r="I67" s="20"/>
      <c r="J67" s="20"/>
      <c r="K67" s="20"/>
      <c r="L67" s="22"/>
      <c r="M67" s="22"/>
      <c r="N67" s="22"/>
      <c r="O67" s="20"/>
      <c r="P67" s="22"/>
      <c r="Q67" s="30"/>
      <c r="R67" s="30"/>
      <c r="S67" s="31"/>
    </row>
    <row r="68" spans="5:19" ht="15.75" customHeight="1">
      <c r="E68" s="20"/>
      <c r="F68" s="20"/>
      <c r="G68" s="29"/>
      <c r="H68" s="21"/>
      <c r="I68" s="20"/>
      <c r="J68" s="20"/>
      <c r="K68" s="20"/>
      <c r="L68" s="22"/>
      <c r="M68" s="22"/>
      <c r="N68" s="22"/>
      <c r="O68" s="20"/>
      <c r="P68" s="22"/>
      <c r="Q68" s="30"/>
      <c r="R68" s="30"/>
      <c r="S68" s="31"/>
    </row>
    <row r="69" spans="5:19" ht="15.75" customHeight="1">
      <c r="E69" s="20"/>
      <c r="F69" s="20"/>
      <c r="G69" s="29"/>
      <c r="H69" s="21"/>
      <c r="I69" s="20"/>
      <c r="J69" s="20"/>
      <c r="K69" s="20"/>
      <c r="L69" s="22"/>
      <c r="M69" s="22"/>
      <c r="N69" s="22"/>
      <c r="O69" s="20"/>
      <c r="P69" s="22"/>
      <c r="Q69" s="30"/>
      <c r="R69" s="30"/>
      <c r="S69" s="31"/>
    </row>
    <row r="70" spans="5:19" ht="15.75" customHeight="1">
      <c r="E70" s="20"/>
      <c r="F70" s="20"/>
      <c r="G70" s="29"/>
      <c r="H70" s="21"/>
      <c r="I70" s="20"/>
      <c r="J70" s="20"/>
      <c r="K70" s="20"/>
      <c r="L70" s="22"/>
      <c r="M70" s="22"/>
      <c r="N70" s="22"/>
      <c r="O70" s="20"/>
      <c r="P70" s="22"/>
      <c r="Q70" s="30"/>
      <c r="R70" s="30"/>
      <c r="S70" s="31"/>
    </row>
    <row r="71" spans="5:19" ht="15.75" customHeight="1">
      <c r="E71" s="20"/>
      <c r="F71" s="20"/>
      <c r="G71" s="29"/>
      <c r="H71" s="21"/>
      <c r="I71" s="20"/>
      <c r="J71" s="20"/>
      <c r="K71" s="20"/>
      <c r="L71" s="22"/>
      <c r="M71" s="22"/>
      <c r="N71" s="22"/>
      <c r="O71" s="20"/>
      <c r="P71" s="22"/>
      <c r="Q71" s="30"/>
      <c r="R71" s="30"/>
      <c r="S71" s="31"/>
    </row>
    <row r="72" spans="5:19" ht="15.75" customHeight="1">
      <c r="E72" s="20"/>
      <c r="F72" s="20"/>
      <c r="G72" s="29"/>
      <c r="H72" s="21"/>
      <c r="I72" s="20"/>
      <c r="J72" s="20"/>
      <c r="K72" s="20"/>
      <c r="L72" s="22"/>
      <c r="M72" s="22"/>
      <c r="N72" s="22"/>
      <c r="O72" s="20"/>
      <c r="P72" s="22"/>
      <c r="Q72" s="30"/>
      <c r="R72" s="30"/>
      <c r="S72" s="31"/>
    </row>
    <row r="73" spans="5:19" ht="15.75" customHeight="1">
      <c r="E73" s="20"/>
      <c r="F73" s="20"/>
      <c r="G73" s="29"/>
      <c r="H73" s="21"/>
      <c r="I73" s="20"/>
      <c r="J73" s="20"/>
      <c r="K73" s="20"/>
      <c r="L73" s="22"/>
      <c r="M73" s="22"/>
      <c r="N73" s="22"/>
      <c r="O73" s="20"/>
      <c r="P73" s="22"/>
      <c r="Q73" s="30"/>
      <c r="R73" s="30"/>
      <c r="S73" s="31"/>
    </row>
    <row r="74" spans="5:19" ht="15.75" customHeight="1">
      <c r="E74" s="20"/>
      <c r="F74" s="20"/>
      <c r="G74" s="29"/>
      <c r="H74" s="21"/>
      <c r="I74" s="20"/>
      <c r="J74" s="20"/>
      <c r="K74" s="20"/>
      <c r="L74" s="22"/>
      <c r="M74" s="22"/>
      <c r="N74" s="22"/>
      <c r="O74" s="20"/>
      <c r="P74" s="22"/>
      <c r="Q74" s="30"/>
      <c r="R74" s="30"/>
      <c r="S74" s="31"/>
    </row>
    <row r="75" spans="5:19" ht="15.75" customHeight="1">
      <c r="E75" s="20"/>
      <c r="F75" s="20"/>
      <c r="G75" s="29"/>
      <c r="H75" s="21"/>
      <c r="I75" s="20"/>
      <c r="J75" s="20"/>
      <c r="K75" s="20"/>
      <c r="L75" s="22"/>
      <c r="M75" s="22"/>
      <c r="N75" s="22"/>
      <c r="O75" s="20"/>
      <c r="P75" s="22"/>
      <c r="Q75" s="30"/>
      <c r="R75" s="30"/>
      <c r="S75" s="31"/>
    </row>
    <row r="76" spans="5:19" ht="15.75" customHeight="1">
      <c r="E76" s="20"/>
      <c r="F76" s="20"/>
      <c r="G76" s="29"/>
      <c r="H76" s="21"/>
      <c r="I76" s="20"/>
      <c r="J76" s="20"/>
      <c r="K76" s="20"/>
      <c r="L76" s="22"/>
      <c r="M76" s="22"/>
      <c r="N76" s="22"/>
      <c r="O76" s="20"/>
      <c r="P76" s="22"/>
      <c r="Q76" s="30"/>
      <c r="R76" s="30"/>
      <c r="S76" s="31"/>
    </row>
    <row r="77" spans="5:19" ht="15.75" customHeight="1">
      <c r="E77" s="20"/>
      <c r="F77" s="20"/>
      <c r="G77" s="29"/>
      <c r="H77" s="21"/>
      <c r="I77" s="20"/>
      <c r="J77" s="20"/>
      <c r="K77" s="20"/>
      <c r="L77" s="22"/>
      <c r="M77" s="22"/>
      <c r="N77" s="22"/>
      <c r="O77" s="20"/>
      <c r="P77" s="22"/>
      <c r="Q77" s="30"/>
      <c r="R77" s="30"/>
      <c r="S77" s="31"/>
    </row>
    <row r="78" spans="5:19" ht="15.75" customHeight="1">
      <c r="E78" s="20"/>
      <c r="F78" s="20"/>
      <c r="G78" s="29"/>
      <c r="H78" s="21"/>
      <c r="I78" s="20"/>
      <c r="J78" s="20"/>
      <c r="K78" s="20"/>
      <c r="L78" s="22"/>
      <c r="M78" s="22"/>
      <c r="N78" s="22"/>
      <c r="O78" s="20"/>
      <c r="P78" s="22"/>
      <c r="Q78" s="30"/>
      <c r="R78" s="30"/>
      <c r="S78" s="31"/>
    </row>
    <row r="79" spans="5:19" ht="15.75" customHeight="1">
      <c r="E79" s="20"/>
      <c r="F79" s="20"/>
      <c r="G79" s="29"/>
      <c r="H79" s="21"/>
      <c r="I79" s="20"/>
      <c r="J79" s="20"/>
      <c r="K79" s="20"/>
      <c r="L79" s="22"/>
      <c r="M79" s="22"/>
      <c r="N79" s="22"/>
      <c r="O79" s="20"/>
      <c r="P79" s="22"/>
      <c r="Q79" s="30"/>
      <c r="R79" s="30"/>
      <c r="S79" s="31"/>
    </row>
    <row r="80" spans="5:19" ht="15.75" customHeight="1">
      <c r="E80" s="20"/>
      <c r="F80" s="20"/>
      <c r="G80" s="29"/>
      <c r="H80" s="21"/>
      <c r="I80" s="20"/>
      <c r="J80" s="20"/>
      <c r="K80" s="20"/>
      <c r="L80" s="22"/>
      <c r="M80" s="22"/>
      <c r="N80" s="22"/>
      <c r="O80" s="20"/>
      <c r="P80" s="22"/>
      <c r="Q80" s="30"/>
      <c r="R80" s="30"/>
      <c r="S80" s="31"/>
    </row>
    <row r="81" spans="5:19" ht="15.75" customHeight="1">
      <c r="E81" s="20"/>
      <c r="F81" s="20"/>
      <c r="G81" s="29"/>
      <c r="H81" s="21"/>
      <c r="I81" s="20"/>
      <c r="J81" s="20"/>
      <c r="K81" s="20"/>
      <c r="L81" s="22"/>
      <c r="M81" s="22"/>
      <c r="N81" s="22"/>
      <c r="O81" s="20"/>
      <c r="P81" s="22"/>
      <c r="Q81" s="30"/>
      <c r="R81" s="30"/>
      <c r="S81" s="31"/>
    </row>
    <row r="82" spans="5:19" ht="15.75" customHeight="1">
      <c r="E82" s="20"/>
      <c r="F82" s="20"/>
      <c r="G82" s="29"/>
      <c r="H82" s="21"/>
      <c r="I82" s="20"/>
      <c r="J82" s="20"/>
      <c r="K82" s="20"/>
      <c r="L82" s="22"/>
      <c r="M82" s="22"/>
      <c r="N82" s="22"/>
      <c r="O82" s="20"/>
      <c r="P82" s="22"/>
      <c r="Q82" s="30"/>
      <c r="R82" s="30"/>
      <c r="S82" s="31"/>
    </row>
    <row r="83" spans="5:19" ht="15.75" customHeight="1">
      <c r="E83" s="20"/>
      <c r="F83" s="20"/>
      <c r="G83" s="29"/>
      <c r="H83" s="21"/>
      <c r="I83" s="20"/>
      <c r="J83" s="20"/>
      <c r="K83" s="20"/>
      <c r="L83" s="22"/>
      <c r="M83" s="22"/>
      <c r="N83" s="22"/>
      <c r="O83" s="20"/>
      <c r="P83" s="22"/>
      <c r="Q83" s="30"/>
      <c r="R83" s="30"/>
      <c r="S83" s="31"/>
    </row>
    <row r="84" spans="5:19" ht="15.75" customHeight="1">
      <c r="E84" s="20"/>
      <c r="F84" s="20"/>
      <c r="G84" s="29"/>
      <c r="H84" s="21"/>
      <c r="I84" s="20"/>
      <c r="J84" s="20"/>
      <c r="K84" s="20"/>
      <c r="L84" s="22"/>
      <c r="M84" s="22"/>
      <c r="N84" s="22"/>
      <c r="O84" s="20"/>
      <c r="P84" s="22"/>
      <c r="Q84" s="30"/>
      <c r="R84" s="30"/>
      <c r="S84" s="31"/>
    </row>
    <row r="85" spans="5:19" ht="15.75" customHeight="1">
      <c r="E85" s="20"/>
      <c r="F85" s="20"/>
      <c r="G85" s="29"/>
      <c r="H85" s="21"/>
      <c r="I85" s="20"/>
      <c r="J85" s="20"/>
      <c r="K85" s="20"/>
      <c r="L85" s="22"/>
      <c r="M85" s="22"/>
      <c r="N85" s="22"/>
      <c r="O85" s="20"/>
      <c r="P85" s="22"/>
      <c r="Q85" s="30"/>
      <c r="R85" s="30"/>
      <c r="S85" s="31"/>
    </row>
    <row r="86" spans="5:19" ht="15.75" customHeight="1">
      <c r="E86" s="20"/>
      <c r="F86" s="20"/>
      <c r="G86" s="29"/>
      <c r="H86" s="21"/>
      <c r="I86" s="20"/>
      <c r="J86" s="20"/>
      <c r="K86" s="20"/>
      <c r="L86" s="22"/>
      <c r="M86" s="22"/>
      <c r="N86" s="22"/>
      <c r="O86" s="20"/>
      <c r="P86" s="22"/>
      <c r="Q86" s="30"/>
      <c r="R86" s="30"/>
      <c r="S86" s="31"/>
    </row>
    <row r="87" spans="5:19" ht="15.75" customHeight="1">
      <c r="E87" s="20"/>
      <c r="F87" s="20"/>
      <c r="G87" s="29"/>
      <c r="H87" s="21"/>
      <c r="I87" s="20"/>
      <c r="J87" s="20"/>
      <c r="K87" s="20"/>
      <c r="L87" s="22"/>
      <c r="M87" s="22"/>
      <c r="N87" s="22"/>
      <c r="O87" s="20"/>
      <c r="P87" s="22"/>
      <c r="Q87" s="30"/>
      <c r="R87" s="30"/>
      <c r="S87" s="31"/>
    </row>
    <row r="88" spans="5:19" ht="15.75" customHeight="1">
      <c r="E88" s="20"/>
      <c r="F88" s="20"/>
      <c r="G88" s="29"/>
      <c r="H88" s="21"/>
      <c r="I88" s="20"/>
      <c r="J88" s="20"/>
      <c r="K88" s="20"/>
      <c r="L88" s="22"/>
      <c r="M88" s="22"/>
      <c r="N88" s="22"/>
      <c r="O88" s="20"/>
      <c r="P88" s="22"/>
      <c r="Q88" s="30"/>
      <c r="R88" s="30"/>
      <c r="S88" s="31"/>
    </row>
    <row r="89" spans="5:19" ht="15.75" customHeight="1">
      <c r="E89" s="20"/>
      <c r="F89" s="20"/>
      <c r="G89" s="29"/>
      <c r="H89" s="21"/>
      <c r="I89" s="20"/>
      <c r="J89" s="20"/>
      <c r="K89" s="20"/>
      <c r="L89" s="22"/>
      <c r="M89" s="22"/>
      <c r="N89" s="22"/>
      <c r="O89" s="20"/>
      <c r="P89" s="22"/>
      <c r="Q89" s="30"/>
      <c r="R89" s="30"/>
      <c r="S89" s="31"/>
    </row>
    <row r="90" spans="5:19" ht="15.75" customHeight="1">
      <c r="E90" s="20"/>
      <c r="F90" s="20"/>
      <c r="G90" s="29"/>
      <c r="H90" s="21"/>
      <c r="I90" s="20"/>
      <c r="J90" s="20"/>
      <c r="K90" s="20"/>
      <c r="L90" s="22"/>
      <c r="M90" s="22"/>
      <c r="N90" s="22"/>
      <c r="O90" s="20"/>
      <c r="P90" s="22"/>
      <c r="Q90" s="30"/>
      <c r="R90" s="30"/>
      <c r="S90" s="31"/>
    </row>
    <row r="91" spans="5:19" ht="15.75" customHeight="1">
      <c r="E91" s="20"/>
      <c r="F91" s="20"/>
      <c r="G91" s="29"/>
      <c r="H91" s="21"/>
      <c r="I91" s="20"/>
      <c r="J91" s="20"/>
      <c r="K91" s="20"/>
      <c r="L91" s="22"/>
      <c r="M91" s="22"/>
      <c r="N91" s="22"/>
      <c r="O91" s="20"/>
      <c r="P91" s="22"/>
      <c r="Q91" s="30"/>
      <c r="R91" s="30"/>
      <c r="S91" s="31"/>
    </row>
    <row r="92" spans="5:19" ht="15.75" customHeight="1">
      <c r="E92" s="20"/>
      <c r="F92" s="20"/>
      <c r="G92" s="29"/>
      <c r="H92" s="21"/>
      <c r="I92" s="20"/>
      <c r="J92" s="20"/>
      <c r="K92" s="20"/>
      <c r="L92" s="22"/>
      <c r="M92" s="22"/>
      <c r="N92" s="22"/>
      <c r="O92" s="20"/>
      <c r="P92" s="22"/>
      <c r="Q92" s="30"/>
      <c r="R92" s="30"/>
      <c r="S92" s="31"/>
    </row>
    <row r="93" spans="5:19" ht="15.75" customHeight="1">
      <c r="E93" s="20"/>
      <c r="F93" s="20"/>
      <c r="G93" s="29"/>
      <c r="H93" s="21"/>
      <c r="I93" s="20"/>
      <c r="J93" s="20"/>
      <c r="K93" s="20"/>
      <c r="L93" s="22"/>
      <c r="M93" s="22"/>
      <c r="N93" s="22"/>
      <c r="O93" s="20"/>
      <c r="P93" s="22"/>
      <c r="Q93" s="30"/>
      <c r="R93" s="30"/>
      <c r="S93" s="31"/>
    </row>
    <row r="94" spans="5:19" ht="15.75" customHeight="1">
      <c r="E94" s="20"/>
      <c r="F94" s="20"/>
      <c r="G94" s="29"/>
      <c r="H94" s="21"/>
      <c r="I94" s="20"/>
      <c r="J94" s="20"/>
      <c r="K94" s="20"/>
      <c r="L94" s="22"/>
      <c r="M94" s="22"/>
      <c r="N94" s="22"/>
      <c r="O94" s="20"/>
      <c r="P94" s="22"/>
      <c r="Q94" s="30"/>
      <c r="R94" s="30"/>
      <c r="S94" s="31"/>
    </row>
    <row r="95" spans="5:19" ht="15.75" customHeight="1">
      <c r="E95" s="20"/>
      <c r="F95" s="20"/>
      <c r="G95" s="29"/>
      <c r="H95" s="21"/>
      <c r="I95" s="20"/>
      <c r="J95" s="20"/>
      <c r="K95" s="20"/>
      <c r="L95" s="22"/>
      <c r="M95" s="22"/>
      <c r="N95" s="22"/>
      <c r="O95" s="20"/>
      <c r="P95" s="22"/>
      <c r="Q95" s="30"/>
      <c r="R95" s="30"/>
      <c r="S95" s="31"/>
    </row>
    <row r="96" spans="5:19" ht="15.75" customHeight="1">
      <c r="E96" s="20"/>
      <c r="F96" s="20"/>
      <c r="G96" s="29"/>
      <c r="H96" s="21"/>
      <c r="I96" s="20"/>
      <c r="J96" s="20"/>
      <c r="K96" s="20"/>
      <c r="L96" s="22"/>
      <c r="M96" s="22"/>
      <c r="N96" s="22"/>
      <c r="O96" s="20"/>
      <c r="P96" s="22"/>
      <c r="Q96" s="30"/>
      <c r="R96" s="30"/>
      <c r="S96" s="31"/>
    </row>
    <row r="97" spans="5:19" ht="15.75" customHeight="1">
      <c r="E97" s="20"/>
      <c r="F97" s="20"/>
      <c r="G97" s="29"/>
      <c r="H97" s="21"/>
      <c r="I97" s="20"/>
      <c r="J97" s="20"/>
      <c r="K97" s="20"/>
      <c r="L97" s="22"/>
      <c r="M97" s="22"/>
      <c r="N97" s="22"/>
      <c r="O97" s="20"/>
      <c r="P97" s="22"/>
      <c r="Q97" s="30"/>
      <c r="R97" s="30"/>
      <c r="S97" s="31"/>
    </row>
    <row r="98" spans="5:19" ht="15.75" customHeight="1">
      <c r="E98" s="20"/>
      <c r="F98" s="20"/>
      <c r="G98" s="29"/>
      <c r="H98" s="21"/>
      <c r="I98" s="20"/>
      <c r="J98" s="20"/>
      <c r="K98" s="20"/>
      <c r="L98" s="22"/>
      <c r="M98" s="22"/>
      <c r="N98" s="22"/>
      <c r="O98" s="20"/>
      <c r="P98" s="22"/>
      <c r="Q98" s="30"/>
      <c r="R98" s="30"/>
      <c r="S98" s="31"/>
    </row>
    <row r="99" spans="5:19" ht="15.75" customHeight="1">
      <c r="E99" s="20"/>
      <c r="F99" s="20"/>
      <c r="G99" s="29"/>
      <c r="H99" s="21"/>
      <c r="I99" s="20"/>
      <c r="J99" s="20"/>
      <c r="K99" s="20"/>
      <c r="L99" s="22"/>
      <c r="M99" s="22"/>
      <c r="N99" s="22"/>
      <c r="O99" s="20"/>
      <c r="P99" s="22"/>
      <c r="Q99" s="30"/>
      <c r="R99" s="30"/>
      <c r="S99" s="31"/>
    </row>
    <row r="100" spans="5:19" ht="15.75" customHeight="1">
      <c r="E100" s="20"/>
      <c r="F100" s="20"/>
      <c r="G100" s="29"/>
      <c r="H100" s="21"/>
      <c r="I100" s="20"/>
      <c r="J100" s="20"/>
      <c r="K100" s="20"/>
      <c r="L100" s="22"/>
      <c r="M100" s="22"/>
      <c r="N100" s="22"/>
      <c r="O100" s="20"/>
      <c r="P100" s="22"/>
      <c r="Q100" s="30"/>
      <c r="R100" s="30"/>
      <c r="S100" s="31"/>
    </row>
    <row r="101" spans="5:19" ht="15.75" customHeight="1">
      <c r="E101" s="20"/>
      <c r="F101" s="20"/>
      <c r="G101" s="29"/>
      <c r="H101" s="21"/>
      <c r="I101" s="20"/>
      <c r="J101" s="20"/>
      <c r="K101" s="20"/>
      <c r="L101" s="22"/>
      <c r="M101" s="22"/>
      <c r="N101" s="22"/>
      <c r="O101" s="20"/>
      <c r="P101" s="22"/>
      <c r="Q101" s="30"/>
      <c r="R101" s="30"/>
      <c r="S101" s="31"/>
    </row>
    <row r="102" spans="5:19" ht="15.75" customHeight="1">
      <c r="E102" s="20"/>
      <c r="F102" s="20"/>
      <c r="G102" s="29"/>
      <c r="H102" s="21"/>
      <c r="I102" s="20"/>
      <c r="J102" s="20"/>
      <c r="K102" s="20"/>
      <c r="L102" s="22"/>
      <c r="M102" s="22"/>
      <c r="N102" s="22"/>
      <c r="O102" s="20"/>
      <c r="P102" s="22"/>
      <c r="Q102" s="30"/>
      <c r="R102" s="30"/>
      <c r="S102" s="31"/>
    </row>
    <row r="103" spans="5:19" ht="15.75" customHeight="1">
      <c r="E103" s="20"/>
      <c r="F103" s="20"/>
      <c r="G103" s="29"/>
      <c r="H103" s="21"/>
      <c r="I103" s="20"/>
      <c r="J103" s="20"/>
      <c r="K103" s="20"/>
      <c r="L103" s="22"/>
      <c r="M103" s="22"/>
      <c r="N103" s="22"/>
      <c r="O103" s="20"/>
      <c r="P103" s="22"/>
      <c r="Q103" s="30"/>
      <c r="R103" s="30"/>
      <c r="S103" s="31"/>
    </row>
    <row r="104" spans="5:19" ht="15.75" customHeight="1">
      <c r="E104" s="20"/>
      <c r="F104" s="20"/>
      <c r="G104" s="29"/>
      <c r="H104" s="21"/>
      <c r="I104" s="20"/>
      <c r="J104" s="20"/>
      <c r="K104" s="20"/>
      <c r="L104" s="22"/>
      <c r="M104" s="22"/>
      <c r="N104" s="22"/>
      <c r="O104" s="20"/>
      <c r="P104" s="22"/>
      <c r="Q104" s="30"/>
      <c r="R104" s="30"/>
      <c r="S104" s="31"/>
    </row>
    <row r="105" spans="5:19" ht="15.75" customHeight="1">
      <c r="E105" s="20"/>
      <c r="F105" s="20"/>
      <c r="G105" s="29"/>
      <c r="H105" s="21"/>
      <c r="I105" s="20"/>
      <c r="J105" s="20"/>
      <c r="K105" s="20"/>
      <c r="L105" s="22"/>
      <c r="M105" s="22"/>
      <c r="N105" s="22"/>
      <c r="O105" s="20"/>
      <c r="P105" s="22"/>
      <c r="Q105" s="30"/>
      <c r="R105" s="30"/>
      <c r="S105" s="31"/>
    </row>
    <row r="106" spans="5:19" ht="15.75" customHeight="1">
      <c r="E106" s="20"/>
      <c r="F106" s="20"/>
      <c r="G106" s="29"/>
      <c r="H106" s="21"/>
      <c r="I106" s="20"/>
      <c r="J106" s="20"/>
      <c r="K106" s="20"/>
      <c r="L106" s="22"/>
      <c r="M106" s="22"/>
      <c r="N106" s="22"/>
      <c r="O106" s="20"/>
      <c r="P106" s="22"/>
      <c r="Q106" s="30"/>
      <c r="R106" s="30"/>
      <c r="S106" s="31"/>
    </row>
    <row r="107" spans="5:19" ht="15.75" customHeight="1">
      <c r="E107" s="20"/>
      <c r="F107" s="20"/>
      <c r="G107" s="29"/>
      <c r="H107" s="21"/>
      <c r="I107" s="20"/>
      <c r="J107" s="20"/>
      <c r="K107" s="20"/>
      <c r="L107" s="22"/>
      <c r="M107" s="22"/>
      <c r="N107" s="22"/>
      <c r="O107" s="20"/>
      <c r="P107" s="22"/>
      <c r="Q107" s="30"/>
      <c r="R107" s="30"/>
      <c r="S107" s="31"/>
    </row>
    <row r="108" spans="5:19" ht="15.75" customHeight="1">
      <c r="E108" s="20"/>
      <c r="F108" s="20"/>
      <c r="G108" s="29"/>
      <c r="H108" s="21"/>
      <c r="I108" s="20"/>
      <c r="J108" s="20"/>
      <c r="K108" s="20"/>
      <c r="L108" s="22"/>
      <c r="M108" s="22"/>
      <c r="N108" s="22"/>
      <c r="O108" s="20"/>
      <c r="P108" s="22"/>
      <c r="Q108" s="30"/>
      <c r="R108" s="30"/>
      <c r="S108" s="31"/>
    </row>
    <row r="109" spans="5:19" ht="15.75" customHeight="1">
      <c r="E109" s="18"/>
      <c r="H109" s="2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5:19" ht="15.75" customHeight="1">
      <c r="E110" s="18"/>
      <c r="F110" s="18"/>
      <c r="G110" s="23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5:19" ht="15.75" customHeight="1">
      <c r="E111" s="18"/>
      <c r="F111" s="18"/>
      <c r="G111" s="23"/>
      <c r="H111" s="2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5:19" ht="15.75" customHeight="1">
      <c r="E112" s="18"/>
      <c r="F112" s="18"/>
      <c r="G112" s="18"/>
      <c r="H112" s="2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5:19" ht="15.75" customHeight="1"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5:19" ht="15.75" customHeight="1">
      <c r="G114" s="18"/>
      <c r="H114" s="2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5:19" ht="15.75" customHeight="1">
      <c r="G115" s="18"/>
      <c r="H115" s="2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5:19" ht="15.75" customHeight="1">
      <c r="E116" s="18"/>
      <c r="F116" s="20"/>
      <c r="G116" s="18"/>
      <c r="H116" s="2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5:19" ht="15.75" customHeight="1"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5:19" ht="15.75" customHeight="1">
      <c r="E118" s="18"/>
      <c r="F118" s="18"/>
      <c r="G118" s="18"/>
      <c r="H118" s="2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5:19" ht="15.75" customHeight="1">
      <c r="E119" s="18"/>
      <c r="F119" s="18"/>
      <c r="G119" s="18"/>
      <c r="H119" s="2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5:19" ht="15.75" customHeight="1"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5:19" ht="15.75" customHeight="1">
      <c r="E121" s="18"/>
      <c r="F121" s="18"/>
      <c r="G121" s="18"/>
      <c r="H121" s="2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5:19" ht="15.75" customHeight="1">
      <c r="E122" s="18"/>
      <c r="F122" s="18"/>
      <c r="G122" s="18"/>
      <c r="H122" s="2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5:19" ht="15.75" customHeight="1">
      <c r="E123" s="18"/>
      <c r="F123" s="18"/>
      <c r="G123" s="18"/>
      <c r="H123" s="2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E126" s="18"/>
      <c r="F126" s="18"/>
      <c r="G126" s="18"/>
      <c r="H126" s="2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/>
      <c r="H127" s="2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/>
      <c r="H128" s="2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5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5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5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5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5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5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5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5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5:19" ht="15.75" customHeight="1">
      <c r="E137" s="18"/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5:19" ht="15.75" customHeight="1">
      <c r="E138" s="18"/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5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5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5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5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5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5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1" t="s">
        <v>167</v>
      </c>
      <c r="B600" s="52"/>
      <c r="C600" s="52"/>
      <c r="D600" s="53"/>
      <c r="E600" s="7"/>
      <c r="F600" s="51" t="str">
        <f>A600</f>
        <v>PPB31405_deglyc_2K_2pQ_2GSH_1Cys_8Ox</v>
      </c>
      <c r="G600" s="53"/>
      <c r="H600" s="7"/>
      <c r="I600" s="13" t="s">
        <v>168</v>
      </c>
      <c r="J600" s="3">
        <f>SUM(H2:H592)</f>
        <v>4465256847.0390625</v>
      </c>
    </row>
    <row r="601" spans="1:19">
      <c r="A601" s="54" t="s">
        <v>2</v>
      </c>
      <c r="B601" s="52"/>
      <c r="C601" s="52"/>
      <c r="D601" s="53"/>
      <c r="E601" s="7"/>
      <c r="F601" s="6" t="s">
        <v>169</v>
      </c>
      <c r="G601" s="8" t="s">
        <v>169</v>
      </c>
      <c r="H601" s="24"/>
      <c r="I601" s="14" t="s">
        <v>170</v>
      </c>
      <c r="J601" s="4">
        <f>100-(SUMIF(C2:C592,"",H2:H592)/J600*100)</f>
        <v>91.13379701589092</v>
      </c>
    </row>
    <row r="602" spans="1:19">
      <c r="A602" s="27">
        <v>0</v>
      </c>
      <c r="B602" s="27">
        <v>1</v>
      </c>
      <c r="C602" s="27">
        <v>2</v>
      </c>
      <c r="D602" s="27">
        <v>3</v>
      </c>
      <c r="E602" s="24"/>
      <c r="F602" s="11" t="e">
        <f>(A603*A602+B603*B602+C603*C602+D603*D602)/(A603+B603+C603+D603)</f>
        <v>#DIV/0!</v>
      </c>
      <c r="G602" s="34">
        <f>IFERROR(F602,0)</f>
        <v>0</v>
      </c>
      <c r="H602" s="32"/>
      <c r="I602" s="13" t="s">
        <v>171</v>
      </c>
      <c r="J602" s="5" t="e">
        <f>#REF!</f>
        <v>#REF!</v>
      </c>
    </row>
    <row r="603" spans="1:19">
      <c r="A603" s="2">
        <f>SUMIFS($H$2:$H$592,$A$2:$A$592,$A600,$B$2:$B$592,A602, $I$2:$I$592,"&gt;="&amp;$J$602,$G$2:$G$592,"&lt;="&amp;$J$603)</f>
        <v>0</v>
      </c>
      <c r="B603" s="2">
        <f>SUMIFS($H$2:$H$592,$A$2:$A$592,$A600,$B$2:$B$592,B602, $I$2:$I$592,"&gt;="&amp;$J$602,$G$2:$G$592,"&lt;="&amp;$J$603)</f>
        <v>0</v>
      </c>
      <c r="C603" s="2">
        <f>SUMIFS($H$2:$H$592,$A$2:$A$592,$A600,$B$2:$B$592,C602, $I$2:$I$592,"&gt;="&amp;$J$602,$G$2:$G$592,"&lt;="&amp;$J$603)</f>
        <v>0</v>
      </c>
      <c r="D603" s="2">
        <f>SUMIFS($H$2:$H$592,$A$2:$A$592,$A600,$B$2:$B$592,D602, $I$2:$I$592,"&gt;="&amp;$J$602,$G$2:$G$592,"&lt;="&amp;$J$603)</f>
        <v>0</v>
      </c>
      <c r="E603" s="9"/>
      <c r="F603" s="1">
        <f>SUM(A603:D603)</f>
        <v>0</v>
      </c>
      <c r="G603" s="1">
        <f>F603</f>
        <v>0</v>
      </c>
      <c r="H603" s="9"/>
      <c r="I603" s="13" t="s">
        <v>172</v>
      </c>
      <c r="J603" s="5" t="e">
        <f>#REF!</f>
        <v>#REF!</v>
      </c>
    </row>
    <row r="604" spans="1:19">
      <c r="C604" s="25"/>
      <c r="D604" s="25"/>
      <c r="I604" s="13" t="s">
        <v>173</v>
      </c>
      <c r="J604" s="3">
        <f>SUMIFS(H2:H592,I2:I592,"&gt;"&amp;J602,G2:G592,"&lt;"&amp;J603)</f>
        <v>0</v>
      </c>
    </row>
    <row r="605" spans="1:19">
      <c r="A605" s="51" t="s">
        <v>174</v>
      </c>
      <c r="B605" s="52"/>
      <c r="C605" s="52"/>
      <c r="D605" s="53"/>
      <c r="E605" s="7"/>
      <c r="F605" s="51" t="str">
        <f>A605</f>
        <v>PPB31405_deglyc_2K_2pQ_2GSH_1Cys_5Ox</v>
      </c>
      <c r="G605" s="53"/>
      <c r="H605" s="7"/>
      <c r="I605" s="14" t="s">
        <v>175</v>
      </c>
      <c r="J605" s="4" t="e">
        <f>$G$651/$J$604*100</f>
        <v>#DIV/0!</v>
      </c>
    </row>
    <row r="606" spans="1:19">
      <c r="A606" s="54" t="s">
        <v>2</v>
      </c>
      <c r="B606" s="52"/>
      <c r="C606" s="52"/>
      <c r="D606" s="53"/>
      <c r="E606" s="7"/>
      <c r="F606" s="6" t="s">
        <v>169</v>
      </c>
      <c r="G606" s="6" t="str">
        <f>F606</f>
        <v>Mean DAR w/ cut-off</v>
      </c>
      <c r="H606" s="24"/>
    </row>
    <row r="607" spans="1:19">
      <c r="A607" s="27">
        <v>0</v>
      </c>
      <c r="B607" s="27">
        <v>1</v>
      </c>
      <c r="C607" s="27">
        <v>2</v>
      </c>
      <c r="D607" s="27">
        <v>3</v>
      </c>
      <c r="E607" s="24"/>
      <c r="F607" s="12" t="e">
        <f>(A608*A607+B608*B607+C608*C607+D608*D607)/(A608+B608+C608+D608)</f>
        <v>#DIV/0!</v>
      </c>
      <c r="G607" s="34">
        <f>IFERROR(F607,0)</f>
        <v>0</v>
      </c>
      <c r="H607" s="32"/>
      <c r="I607" s="28" t="s">
        <v>169</v>
      </c>
      <c r="J607" s="35" t="e">
        <f>(G602*G603+G607*G608+G612*G613+G617*G618+G622*G623+G627*G628+G632*G633+G637*G638+G642*G643+G647*G648)/$G$651</f>
        <v>#DIV/0!</v>
      </c>
    </row>
    <row r="608" spans="1:19">
      <c r="A608" s="2">
        <f>SUMIFS($H$2:$H$592,$A$2:$A$592,$A605,$B$2:$B$592,A607, $I$2:$I$592,"&gt;="&amp;$J$602,$G$2:$G$592,"&lt;="&amp;$J$603)</f>
        <v>0</v>
      </c>
      <c r="B608" s="2">
        <f>SUMIFS($H$2:$H$592,$A$2:$A$592,$A605,$B$2:$B$592,B607, $I$2:$I$592,"&gt;="&amp;$J$602,$G$2:$G$592,"&lt;="&amp;$J$603)</f>
        <v>0</v>
      </c>
      <c r="C608" s="2">
        <f>SUMIFS($H$2:$H$592,$A$2:$A$592,$A605,$B$2:$B$592,C607, $I$2:$I$592,"&gt;="&amp;$J$602,$G$2:$G$592,"&lt;="&amp;$J$603)</f>
        <v>0</v>
      </c>
      <c r="D608" s="2">
        <f>SUMIFS($H$2:$H$592,$A$2:$A$592,$A605,$B$2:$B$592,D607, $I$2:$I$592,"&gt;="&amp;$J$602,$G$2:$G$592,"&lt;="&amp;$J$603)</f>
        <v>0</v>
      </c>
      <c r="E608" s="9"/>
      <c r="F608" s="1">
        <f>SUM(A608:D608)</f>
        <v>0</v>
      </c>
      <c r="G608" s="1">
        <f>F608</f>
        <v>0</v>
      </c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1" t="s">
        <v>176</v>
      </c>
      <c r="B610" s="52"/>
      <c r="C610" s="52"/>
      <c r="D610" s="53"/>
      <c r="E610" s="7"/>
      <c r="F610" s="51" t="str">
        <f>A610</f>
        <v>PPB31405_deglyc_2K_2pQ_2GSH_5Ox</v>
      </c>
      <c r="G610" s="53"/>
      <c r="H610" s="7"/>
    </row>
    <row r="611" spans="1:10">
      <c r="A611" s="54" t="s">
        <v>2</v>
      </c>
      <c r="B611" s="52"/>
      <c r="C611" s="52"/>
      <c r="D611" s="53"/>
      <c r="E611" s="7"/>
      <c r="F611" s="6" t="s">
        <v>169</v>
      </c>
      <c r="G611" s="6" t="str">
        <f>F611</f>
        <v>Mean DAR w/ cut-off</v>
      </c>
      <c r="H611" s="24"/>
      <c r="I611" s="48"/>
      <c r="J611" s="49"/>
    </row>
    <row r="612" spans="1:10">
      <c r="A612" s="27">
        <v>0</v>
      </c>
      <c r="B612" s="27">
        <v>1</v>
      </c>
      <c r="C612" s="27">
        <v>2</v>
      </c>
      <c r="D612" s="27">
        <v>3</v>
      </c>
      <c r="E612" s="24"/>
      <c r="F612" s="12" t="e">
        <f>(A613*A612+B613*B612+C613*C612+D613*D612)/(A613+B613+C613+D613)</f>
        <v>#DIV/0!</v>
      </c>
      <c r="G612" s="34">
        <f>IFERROR(F612,0)</f>
        <v>0</v>
      </c>
      <c r="H612" s="32"/>
      <c r="I612" s="24"/>
      <c r="J612" s="33"/>
    </row>
    <row r="613" spans="1:10">
      <c r="A613" s="2">
        <f>SUMIFS($H$2:$H$592,$A$2:$A$592,$A610,$B$2:$B$592,A612, $I$2:$I$592,"&gt;="&amp;$J$602,$G$2:$G$592,"&lt;="&amp;$J$603)</f>
        <v>0</v>
      </c>
      <c r="B613" s="2">
        <f>SUMIFS($H$2:$H$592,$A$2:$A$592,$A610,$B$2:$B$592,B612, $I$2:$I$592,"&gt;="&amp;$J$602,$G$2:$G$592,"&lt;="&amp;$J$603)</f>
        <v>0</v>
      </c>
      <c r="C613" s="2">
        <f>SUMIFS($H$2:$H$592,$A$2:$A$592,$A610,$B$2:$B$592,C612, $I$2:$I$592,"&gt;="&amp;$J$602,$G$2:$G$592,"&lt;="&amp;$J$603)</f>
        <v>0</v>
      </c>
      <c r="D613" s="2">
        <f>SUMIFS($H$2:$H$592,$A$2:$A$592,$A610,$B$2:$B$592,D612, $I$2:$I$592,"&gt;="&amp;$J$602,$G$2:$G$592,"&lt;="&amp;$J$603)</f>
        <v>0</v>
      </c>
      <c r="E613" s="9"/>
      <c r="F613" s="1">
        <f>SUM(A613:D613)</f>
        <v>0</v>
      </c>
      <c r="G613" s="1">
        <f>F613</f>
        <v>0</v>
      </c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1" t="s">
        <v>177</v>
      </c>
      <c r="B615" s="52"/>
      <c r="C615" s="52"/>
      <c r="D615" s="53"/>
      <c r="E615" s="7"/>
      <c r="F615" s="51" t="str">
        <f>A615</f>
        <v>PPB31405_deglyc_2K_2pQ_1GSH_2Ox</v>
      </c>
      <c r="G615" s="53"/>
      <c r="H615" s="7"/>
    </row>
    <row r="616" spans="1:10">
      <c r="A616" s="54" t="s">
        <v>2</v>
      </c>
      <c r="B616" s="52"/>
      <c r="C616" s="52"/>
      <c r="D616" s="53"/>
      <c r="E616" s="7"/>
      <c r="F616" s="6" t="s">
        <v>169</v>
      </c>
      <c r="G616" s="6" t="str">
        <f>F616</f>
        <v>Mean DAR w/ cut-off</v>
      </c>
      <c r="H616" s="24"/>
      <c r="I616" s="48"/>
      <c r="J616" s="49"/>
    </row>
    <row r="617" spans="1:10">
      <c r="A617" s="27">
        <v>0</v>
      </c>
      <c r="B617" s="27">
        <v>1</v>
      </c>
      <c r="C617" s="27">
        <v>2</v>
      </c>
      <c r="D617" s="27">
        <v>3</v>
      </c>
      <c r="E617" s="24"/>
      <c r="F617" s="12" t="e">
        <f>(A618*A617+B618*B617+C618*C617+D618*D617)/(A618+B618+C618+D618)</f>
        <v>#DIV/0!</v>
      </c>
      <c r="G617" s="34">
        <f>IFERROR(F617,0)</f>
        <v>0</v>
      </c>
      <c r="H617" s="32"/>
      <c r="I617" s="24"/>
      <c r="J617" s="33"/>
    </row>
    <row r="618" spans="1:10">
      <c r="A618" s="2">
        <f>SUMIFS($H$2:$H$592,$A$2:$A$592,$A615,$B$2:$B$592,A617, $I$2:$I$592,"&gt;="&amp;$J$602,$G$2:$G$592,"&lt;="&amp;$J$603)</f>
        <v>0</v>
      </c>
      <c r="B618" s="2">
        <f>SUMIFS($H$2:$H$592,$A$2:$A$592,$A615,$B$2:$B$592,B617, $I$2:$I$592,"&gt;="&amp;$J$602,$G$2:$G$592,"&lt;="&amp;$J$603)</f>
        <v>0</v>
      </c>
      <c r="C618" s="2">
        <f>SUMIFS($H$2:$H$592,$A$2:$A$592,$A615,$B$2:$B$592,C617, $I$2:$I$592,"&gt;="&amp;$J$602,$G$2:$G$592,"&lt;="&amp;$J$603)</f>
        <v>0</v>
      </c>
      <c r="D618" s="2">
        <f>SUMIFS($H$2:$H$592,$A$2:$A$592,$A615,$B$2:$B$592,D617, $I$2:$I$592,"&gt;="&amp;$J$602,$G$2:$G$592,"&lt;="&amp;$J$603)</f>
        <v>0</v>
      </c>
      <c r="E618" s="9"/>
      <c r="F618" s="1">
        <f>SUM(A618:D618)</f>
        <v>0</v>
      </c>
      <c r="G618" s="1">
        <f>F618</f>
        <v>0</v>
      </c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1" t="s">
        <v>178</v>
      </c>
      <c r="B620" s="52"/>
      <c r="C620" s="52"/>
      <c r="D620" s="53"/>
      <c r="E620" s="7"/>
      <c r="F620" s="51" t="str">
        <f>A620</f>
        <v>PPB31405_deglyc_2GK_2pQ</v>
      </c>
      <c r="G620" s="53"/>
      <c r="H620" s="7"/>
    </row>
    <row r="621" spans="1:10">
      <c r="A621" s="54" t="s">
        <v>2</v>
      </c>
      <c r="B621" s="52"/>
      <c r="C621" s="52"/>
      <c r="D621" s="53"/>
      <c r="E621" s="7"/>
      <c r="F621" s="6" t="s">
        <v>169</v>
      </c>
      <c r="G621" s="6" t="str">
        <f>F621</f>
        <v>Mean DAR w/ cut-off</v>
      </c>
      <c r="H621" s="24"/>
      <c r="I621" s="48"/>
      <c r="J621" s="49"/>
    </row>
    <row r="622" spans="1:10">
      <c r="A622" s="27">
        <v>0</v>
      </c>
      <c r="B622" s="27">
        <v>1</v>
      </c>
      <c r="C622" s="27">
        <v>2</v>
      </c>
      <c r="D622" s="27">
        <v>3</v>
      </c>
      <c r="E622" s="24"/>
      <c r="F622" s="12" t="e">
        <f>(A623*A622+B623*B622+C623*C622+D623*D622)/(A623+B623+C623+D623)</f>
        <v>#DIV/0!</v>
      </c>
      <c r="G622" s="34">
        <f>IFERROR(F622,0)</f>
        <v>0</v>
      </c>
      <c r="H622" s="32"/>
      <c r="I622" s="24"/>
      <c r="J622" s="33"/>
    </row>
    <row r="623" spans="1:10">
      <c r="A623" s="2">
        <f>SUMIFS($H$2:$H$592,$A$2:$A$592,$A620,$B$2:$B$592,A622, $I$2:$I$592,"&gt;="&amp;$J$602,$G$2:$G$592,"&lt;="&amp;$J$603)</f>
        <v>0</v>
      </c>
      <c r="B623" s="2">
        <f>SUMIFS($H$2:$H$592,$A$2:$A$592,$A620,$B$2:$B$592,B622, $I$2:$I$592,"&gt;="&amp;$J$602,$G$2:$G$592,"&lt;="&amp;$J$603)</f>
        <v>0</v>
      </c>
      <c r="C623" s="2">
        <f>SUMIFS($H$2:$H$592,$A$2:$A$592,$A620,$B$2:$B$592,C622, $I$2:$I$592,"&gt;="&amp;$J$602,$G$2:$G$592,"&lt;="&amp;$J$603)</f>
        <v>0</v>
      </c>
      <c r="D623" s="2">
        <f>SUMIFS($H$2:$H$592,$A$2:$A$592,$A620,$B$2:$B$592,D622, $I$2:$I$592,"&gt;="&amp;$J$602,$G$2:$G$592,"&lt;="&amp;$J$603)</f>
        <v>0</v>
      </c>
      <c r="E623" s="9"/>
      <c r="F623" s="1">
        <f>SUM(A623:D623)</f>
        <v>0</v>
      </c>
      <c r="G623" s="1">
        <f>F623</f>
        <v>0</v>
      </c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1" t="s">
        <v>179</v>
      </c>
      <c r="B625" s="52"/>
      <c r="C625" s="52"/>
      <c r="D625" s="53"/>
      <c r="E625" s="7"/>
      <c r="F625" s="51" t="str">
        <f>A625</f>
        <v>PPB31405_deglyc_1K1GK_2pQ</v>
      </c>
      <c r="G625" s="53"/>
      <c r="H625" s="7"/>
    </row>
    <row r="626" spans="1:10">
      <c r="A626" s="54" t="s">
        <v>2</v>
      </c>
      <c r="B626" s="52"/>
      <c r="C626" s="52"/>
      <c r="D626" s="53"/>
      <c r="E626" s="7"/>
      <c r="F626" s="6" t="s">
        <v>169</v>
      </c>
      <c r="G626" s="6" t="str">
        <f>F626</f>
        <v>Mean DAR w/ cut-off</v>
      </c>
      <c r="H626" s="24"/>
      <c r="I626" s="48"/>
      <c r="J626" s="49"/>
    </row>
    <row r="627" spans="1:10">
      <c r="A627" s="27">
        <v>0</v>
      </c>
      <c r="B627" s="27">
        <v>1</v>
      </c>
      <c r="C627" s="27">
        <v>2</v>
      </c>
      <c r="D627" s="27">
        <v>3</v>
      </c>
      <c r="E627" s="24"/>
      <c r="F627" s="12" t="e">
        <f>(A628*A627+B628*B627+C628*C627+D628*D627)/(A628+B628+C628+D628)</f>
        <v>#DIV/0!</v>
      </c>
      <c r="G627" s="34">
        <f>IFERROR(F627,0)</f>
        <v>0</v>
      </c>
      <c r="H627" s="32"/>
      <c r="I627" s="24"/>
      <c r="J627" s="33"/>
    </row>
    <row r="628" spans="1:10">
      <c r="A628" s="2">
        <f>SUMIFS($H$2:$H$592,$A$2:$A$592,$A625,$B$2:$B$592,A627, $I$2:$I$592,"&gt;="&amp;$J$602,$G$2:$G$592,"&lt;="&amp;$J$603)</f>
        <v>0</v>
      </c>
      <c r="B628" s="2">
        <f>SUMIFS($H$2:$H$592,$A$2:$A$592,$A625,$B$2:$B$592,B627, $I$2:$I$592,"&gt;="&amp;$J$602,$G$2:$G$592,"&lt;="&amp;$J$603)</f>
        <v>0</v>
      </c>
      <c r="C628" s="2">
        <f>SUMIFS($H$2:$H$592,$A$2:$A$592,$A625,$B$2:$B$592,C627, $I$2:$I$592,"&gt;="&amp;$J$602,$G$2:$G$592,"&lt;="&amp;$J$603)</f>
        <v>0</v>
      </c>
      <c r="D628" s="2">
        <f>SUMIFS($H$2:$H$592,$A$2:$A$592,$A625,$B$2:$B$592,D627, $I$2:$I$592,"&gt;="&amp;$J$602,$G$2:$G$592,"&lt;="&amp;$J$603)</f>
        <v>0</v>
      </c>
      <c r="E628" s="9"/>
      <c r="F628" s="1">
        <f>SUM(A628:D628)</f>
        <v>0</v>
      </c>
      <c r="G628" s="1">
        <f>F628</f>
        <v>0</v>
      </c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1" t="s">
        <v>180</v>
      </c>
      <c r="B630" s="52"/>
      <c r="C630" s="52"/>
      <c r="D630" s="53"/>
      <c r="E630" s="7"/>
      <c r="F630" s="51" t="str">
        <f>A630</f>
        <v>PPB31405_deglyc_1GK</v>
      </c>
      <c r="G630" s="53"/>
      <c r="H630" s="7"/>
    </row>
    <row r="631" spans="1:10">
      <c r="A631" s="54" t="s">
        <v>2</v>
      </c>
      <c r="B631" s="52"/>
      <c r="C631" s="52"/>
      <c r="D631" s="53"/>
      <c r="E631" s="7"/>
      <c r="F631" s="6" t="s">
        <v>169</v>
      </c>
      <c r="G631" s="6" t="str">
        <f>F631</f>
        <v>Mean DAR w/ cut-off</v>
      </c>
      <c r="H631" s="24"/>
      <c r="I631" s="48"/>
      <c r="J631" s="49"/>
    </row>
    <row r="632" spans="1:10">
      <c r="A632" s="27">
        <v>0</v>
      </c>
      <c r="B632" s="27">
        <v>1</v>
      </c>
      <c r="C632" s="27">
        <v>2</v>
      </c>
      <c r="D632" s="27">
        <v>3</v>
      </c>
      <c r="E632" s="24"/>
      <c r="F632" s="12" t="e">
        <f>(A633*A632+B633*B632+C633*C632+D633*D632)/(A633+B633+C633+D633)</f>
        <v>#DIV/0!</v>
      </c>
      <c r="G632" s="34">
        <f>IFERROR(F632,0)</f>
        <v>0</v>
      </c>
      <c r="H632" s="32"/>
      <c r="I632" s="24"/>
      <c r="J632" s="33"/>
    </row>
    <row r="633" spans="1:10">
      <c r="A633" s="2">
        <f>SUMIFS($H$2:$H$592,$A$2:$A$592,$A630,$B$2:$B$592,A632, $I$2:$I$592,"&gt;="&amp;$J$602,$G$2:$G$592,"&lt;="&amp;$J$603)</f>
        <v>0</v>
      </c>
      <c r="B633" s="2">
        <f>SUMIFS($H$2:$H$592,$A$2:$A$592,$A630,$B$2:$B$592,B632, $I$2:$I$592,"&gt;="&amp;$J$602,$G$2:$G$592,"&lt;="&amp;$J$603)</f>
        <v>0</v>
      </c>
      <c r="C633" s="2">
        <f>SUMIFS($H$2:$H$592,$A$2:$A$592,$A630,$B$2:$B$592,C632, $I$2:$I$592,"&gt;="&amp;$J$602,$G$2:$G$592,"&lt;="&amp;$J$603)</f>
        <v>0</v>
      </c>
      <c r="D633" s="2">
        <f>SUMIFS($H$2:$H$592,$A$2:$A$592,$A630,$B$2:$B$592,D632, $I$2:$I$592,"&gt;="&amp;$J$602,$G$2:$G$592,"&lt;="&amp;$J$603)</f>
        <v>0</v>
      </c>
      <c r="E633" s="9"/>
      <c r="F633" s="1">
        <f>SUM(A633:D633)</f>
        <v>0</v>
      </c>
      <c r="G633" s="1">
        <f>F633</f>
        <v>0</v>
      </c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1" t="s">
        <v>181</v>
      </c>
      <c r="B635" s="52"/>
      <c r="C635" s="52"/>
      <c r="D635" s="53"/>
      <c r="E635" s="7"/>
      <c r="F635" s="51" t="str">
        <f>A635</f>
        <v>PPB31405_deglyc_1K_2pQ</v>
      </c>
      <c r="G635" s="53"/>
      <c r="H635" s="7"/>
    </row>
    <row r="636" spans="1:10">
      <c r="A636" s="54" t="s">
        <v>2</v>
      </c>
      <c r="B636" s="52"/>
      <c r="C636" s="52"/>
      <c r="D636" s="53"/>
      <c r="E636" s="7"/>
      <c r="F636" s="6" t="s">
        <v>169</v>
      </c>
      <c r="G636" s="6" t="str">
        <f>F636</f>
        <v>Mean DAR w/ cut-off</v>
      </c>
      <c r="H636" s="24"/>
      <c r="I636" s="48"/>
      <c r="J636" s="49"/>
    </row>
    <row r="637" spans="1:10">
      <c r="A637" s="27">
        <v>0</v>
      </c>
      <c r="B637" s="27">
        <v>1</v>
      </c>
      <c r="C637" s="27">
        <v>2</v>
      </c>
      <c r="D637" s="27">
        <v>3</v>
      </c>
      <c r="E637" s="24"/>
      <c r="F637" s="12" t="e">
        <f>(A638*A637+B638*B637+C638*C637+D638*D637)/(A638+B638+C638+D638)</f>
        <v>#DIV/0!</v>
      </c>
      <c r="G637" s="34">
        <f>IFERROR(F637,0)</f>
        <v>0</v>
      </c>
      <c r="H637" s="32"/>
      <c r="I637" s="24"/>
      <c r="J637" s="33"/>
    </row>
    <row r="638" spans="1:10">
      <c r="A638" s="2">
        <f>SUMIFS($H$2:$H$592,$A$2:$A$592,$A635,$B$2:$B$592,A637, $I$2:$I$592,"&gt;="&amp;$J$602,$G$2:$G$592,"&lt;="&amp;$J$603)</f>
        <v>0</v>
      </c>
      <c r="B638" s="2">
        <f>SUMIFS($H$2:$H$592,$A$2:$A$592,$A635,$B$2:$B$592,B637, $I$2:$I$592,"&gt;="&amp;$J$602,$G$2:$G$592,"&lt;="&amp;$J$603)</f>
        <v>0</v>
      </c>
      <c r="C638" s="2">
        <f>SUMIFS($H$2:$H$592,$A$2:$A$592,$A635,$B$2:$B$592,C637, $I$2:$I$592,"&gt;="&amp;$J$602,$G$2:$G$592,"&lt;="&amp;$J$603)</f>
        <v>0</v>
      </c>
      <c r="D638" s="2">
        <f>SUMIFS($H$2:$H$592,$A$2:$A$592,$A635,$B$2:$B$592,D637, $I$2:$I$592,"&gt;="&amp;$J$602,$G$2:$G$592,"&lt;="&amp;$J$603)</f>
        <v>0</v>
      </c>
      <c r="E638" s="9"/>
      <c r="F638" s="1">
        <f>SUM(A638:D638)</f>
        <v>0</v>
      </c>
      <c r="G638" s="1">
        <f>F638</f>
        <v>0</v>
      </c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1" t="s">
        <v>182</v>
      </c>
      <c r="B640" s="52"/>
      <c r="C640" s="52"/>
      <c r="D640" s="53"/>
      <c r="E640" s="7"/>
      <c r="F640" s="51" t="str">
        <f>A640</f>
        <v>PPB31405_deglyc_2K_2pQ</v>
      </c>
      <c r="G640" s="53"/>
      <c r="H640" s="7"/>
    </row>
    <row r="641" spans="1:10">
      <c r="A641" s="54" t="s">
        <v>2</v>
      </c>
      <c r="B641" s="52"/>
      <c r="C641" s="52"/>
      <c r="D641" s="53"/>
      <c r="E641" s="7"/>
      <c r="F641" s="6" t="s">
        <v>169</v>
      </c>
      <c r="G641" s="6" t="str">
        <f>F641</f>
        <v>Mean DAR w/ cut-off</v>
      </c>
      <c r="H641" s="24"/>
      <c r="I641" s="48"/>
      <c r="J641" s="49"/>
    </row>
    <row r="642" spans="1:10">
      <c r="A642" s="27">
        <v>0</v>
      </c>
      <c r="B642" s="27">
        <v>1</v>
      </c>
      <c r="C642" s="27">
        <v>2</v>
      </c>
      <c r="D642" s="27">
        <v>3</v>
      </c>
      <c r="E642" s="24"/>
      <c r="F642" s="12" t="e">
        <f>(A643*A642+B643*B642+C643*C642+D643*D642)/(A643+B643+C643+D643)</f>
        <v>#DIV/0!</v>
      </c>
      <c r="G642" s="34">
        <f>IFERROR(F642,0)</f>
        <v>0</v>
      </c>
      <c r="H642" s="32"/>
      <c r="I642" s="24"/>
      <c r="J642" s="33"/>
    </row>
    <row r="643" spans="1:10">
      <c r="A643" s="2">
        <f>SUMIFS($H$2:$H$592,$A$2:$A$592,$A640,$B$2:$B$592,A642, $I$2:$I$592,"&gt;="&amp;$J$602,$G$2:$G$592,"&lt;="&amp;$J$603)</f>
        <v>0</v>
      </c>
      <c r="B643" s="2">
        <f>SUMIFS($H$2:$H$592,$A$2:$A$592,$A640,$B$2:$B$592,B642, $I$2:$I$592,"&gt;="&amp;$J$602,$G$2:$G$592,"&lt;="&amp;$J$603)</f>
        <v>0</v>
      </c>
      <c r="C643" s="2">
        <f>SUMIFS($H$2:$H$592,$A$2:$A$592,$A640,$B$2:$B$592,C642, $I$2:$I$592,"&gt;="&amp;$J$602,$G$2:$G$592,"&lt;="&amp;$J$603)</f>
        <v>0</v>
      </c>
      <c r="D643" s="2">
        <f>SUMIFS($H$2:$H$592,$A$2:$A$592,$A640,$B$2:$B$592,D642, $I$2:$I$592,"&gt;="&amp;$J$602,$G$2:$G$592,"&lt;="&amp;$J$603)</f>
        <v>0</v>
      </c>
      <c r="E643" s="9"/>
      <c r="F643" s="1">
        <f>SUM(A643:D643)</f>
        <v>0</v>
      </c>
      <c r="G643" s="1">
        <f>F643</f>
        <v>0</v>
      </c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1" t="s">
        <v>183</v>
      </c>
      <c r="B645" s="52"/>
      <c r="C645" s="52"/>
      <c r="D645" s="53"/>
      <c r="E645" s="7"/>
      <c r="F645" s="51" t="str">
        <f>A645</f>
        <v>PPB31405_deglyc_2pQ</v>
      </c>
      <c r="G645" s="53"/>
      <c r="H645" s="7"/>
    </row>
    <row r="646" spans="1:10">
      <c r="A646" s="54" t="s">
        <v>2</v>
      </c>
      <c r="B646" s="52"/>
      <c r="C646" s="52"/>
      <c r="D646" s="53"/>
      <c r="E646" s="7"/>
      <c r="F646" s="6" t="s">
        <v>169</v>
      </c>
      <c r="G646" s="6" t="str">
        <f>F646</f>
        <v>Mean DAR w/ cut-off</v>
      </c>
      <c r="H646" s="24"/>
      <c r="I646" s="48"/>
      <c r="J646" s="49"/>
    </row>
    <row r="647" spans="1:10">
      <c r="A647" s="27">
        <v>0</v>
      </c>
      <c r="B647" s="27">
        <v>1</v>
      </c>
      <c r="C647" s="27">
        <v>2</v>
      </c>
      <c r="D647" s="27">
        <v>3</v>
      </c>
      <c r="E647" s="24"/>
      <c r="F647" s="12" t="e">
        <f>(A648*A647+B648*B647+C648*C647+D648*D647)/(A648+B648+C648+D648)</f>
        <v>#DIV/0!</v>
      </c>
      <c r="G647" s="34">
        <f>IFERROR(F647,0)</f>
        <v>0</v>
      </c>
      <c r="H647" s="32"/>
      <c r="I647" s="24"/>
      <c r="J647" s="33"/>
    </row>
    <row r="648" spans="1:10">
      <c r="A648" s="2">
        <f>SUMIFS($H$2:$H$592,$A$2:$A$592,$A645,$B$2:$B$592,A647, $I$2:$I$592,"&gt;="&amp;$J$602,$G$2:$G$592,"&lt;="&amp;$J$603)</f>
        <v>0</v>
      </c>
      <c r="B648" s="2">
        <f>SUMIFS($H$2:$H$592,$A$2:$A$592,$A645,$B$2:$B$592,B647, $I$2:$I$592,"&gt;="&amp;$J$602,$G$2:$G$592,"&lt;="&amp;$J$603)</f>
        <v>0</v>
      </c>
      <c r="C648" s="2">
        <f>SUMIFS($H$2:$H$592,$A$2:$A$592,$A645,$B$2:$B$592,C647, $I$2:$I$592,"&gt;="&amp;$J$602,$G$2:$G$592,"&lt;="&amp;$J$603)</f>
        <v>0</v>
      </c>
      <c r="D648" s="2">
        <f>SUMIFS($H$2:$H$592,$A$2:$A$592,$A645,$B$2:$B$592,D647, $I$2:$I$592,"&gt;="&amp;$J$602,$G$2:$G$592,"&lt;="&amp;$J$603)</f>
        <v>0</v>
      </c>
      <c r="E648" s="9"/>
      <c r="F648" s="1">
        <f>SUM(A648:D648)</f>
        <v>0</v>
      </c>
      <c r="G648" s="1">
        <f>F648</f>
        <v>0</v>
      </c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1">
        <f>C603+C608+C613</f>
        <v>0</v>
      </c>
      <c r="G651" s="1">
        <f>G603+G608+G613+G618+G623+G628+G633+G638+G643+G648</f>
        <v>0</v>
      </c>
    </row>
  </sheetData>
  <autoFilter ref="A1:S471" xr:uid="{00000000-0009-0000-0000-000003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I646:J646"/>
    <mergeCell ref="F645:G645"/>
    <mergeCell ref="A620:D620"/>
    <mergeCell ref="I631:J631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651"/>
  <sheetViews>
    <sheetView topLeftCell="C1" zoomScale="85" zoomScaleNormal="85" workbookViewId="0">
      <pane ySplit="1" topLeftCell="A2" activePane="bottomLeft" state="frozen"/>
      <selection pane="bottomLeft" activeCell="C2" sqref="A2:XFD2"/>
    </sheetView>
  </sheetViews>
  <sheetFormatPr defaultColWidth="9.140625" defaultRowHeight="15"/>
  <cols>
    <col min="1" max="1" width="39.7109375" style="26" bestFit="1" customWidth="1"/>
    <col min="2" max="2" width="10.85546875" style="25" bestFit="1" customWidth="1"/>
    <col min="3" max="3" width="36.5703125" style="26" bestFit="1" customWidth="1"/>
    <col min="4" max="4" width="87.7109375" style="26" bestFit="1" customWidth="1"/>
    <col min="5" max="5" width="30.5703125" style="26" bestFit="1" customWidth="1"/>
    <col min="6" max="6" width="29.5703125" style="26" bestFit="1" customWidth="1"/>
    <col min="7" max="7" width="29.1406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55" customFormat="1" ht="15.75" customHeight="1">
      <c r="A2" s="55" t="str">
        <f t="shared" ref="A2:A33" si="0">C2</f>
        <v>Trastuzumab ADC_2K_loss_deglyc</v>
      </c>
      <c r="B2" s="56">
        <v>1</v>
      </c>
      <c r="C2" s="55" t="s">
        <v>19</v>
      </c>
      <c r="D2" s="55" t="s">
        <v>20</v>
      </c>
      <c r="E2" s="57">
        <v>147201.51302251601</v>
      </c>
      <c r="F2" s="57">
        <v>147199.42604399999</v>
      </c>
      <c r="G2" s="58">
        <f>ABS(E2-F2)/F2*1000000</f>
        <v>14.177898461327729</v>
      </c>
      <c r="H2" s="59">
        <v>1196804659</v>
      </c>
      <c r="I2" s="57">
        <v>100</v>
      </c>
      <c r="J2" s="57">
        <v>42.609476345618098</v>
      </c>
      <c r="K2" s="57">
        <v>136.66690646116299</v>
      </c>
      <c r="L2" s="60">
        <v>35</v>
      </c>
      <c r="M2" s="60" t="s">
        <v>85</v>
      </c>
      <c r="N2" s="60">
        <v>13</v>
      </c>
      <c r="O2" s="57">
        <v>0</v>
      </c>
      <c r="P2" s="60" t="s">
        <v>184</v>
      </c>
      <c r="Q2" s="61">
        <v>14.3134908045333</v>
      </c>
      <c r="R2" s="61">
        <v>16.901494425066701</v>
      </c>
      <c r="S2" s="62">
        <v>15.29</v>
      </c>
    </row>
    <row r="3" spans="1:19" ht="15.75" customHeight="1">
      <c r="A3" t="str">
        <f t="shared" si="0"/>
        <v>Trastuzumab ADC_2K_loss_deglyc</v>
      </c>
      <c r="B3" s="25">
        <v>2</v>
      </c>
      <c r="C3" t="s">
        <v>19</v>
      </c>
      <c r="D3" t="s">
        <v>23</v>
      </c>
      <c r="E3" s="20">
        <v>147962.442227939</v>
      </c>
      <c r="F3" s="20">
        <v>147961.428044</v>
      </c>
      <c r="G3" s="29">
        <v>6.8543336005092899</v>
      </c>
      <c r="H3" s="21">
        <v>375426568.25</v>
      </c>
      <c r="I3" s="20">
        <v>31.369075819768199</v>
      </c>
      <c r="J3" s="20">
        <v>13.3661989412631</v>
      </c>
      <c r="K3" s="20">
        <v>131.714178636387</v>
      </c>
      <c r="L3" s="22">
        <v>34</v>
      </c>
      <c r="M3" s="22" t="s">
        <v>185</v>
      </c>
      <c r="N3" s="22">
        <v>13</v>
      </c>
      <c r="O3" s="20">
        <v>760.92920542339596</v>
      </c>
      <c r="P3" s="22" t="s">
        <v>184</v>
      </c>
      <c r="Q3" s="30">
        <v>14.3134908045333</v>
      </c>
      <c r="R3" s="30">
        <v>16.901494425066701</v>
      </c>
      <c r="S3" s="31">
        <v>15.29</v>
      </c>
    </row>
    <row r="4" spans="1:19" s="55" customFormat="1" ht="15.75" customHeight="1">
      <c r="A4" s="55" t="str">
        <f t="shared" si="0"/>
        <v>Trastuzumab ADC_2K_loss_deglyc_A2G0F</v>
      </c>
      <c r="B4" s="56">
        <v>1</v>
      </c>
      <c r="C4" s="55" t="s">
        <v>25</v>
      </c>
      <c r="D4" s="55" t="s">
        <v>20</v>
      </c>
      <c r="E4" s="57">
        <v>148645.63708699899</v>
      </c>
      <c r="F4" s="57">
        <v>148643.746044</v>
      </c>
      <c r="G4" s="58">
        <f>ABS(E4-F4)/F4*1000000</f>
        <v>12.721981578909748</v>
      </c>
      <c r="H4" s="59">
        <v>288720431.625</v>
      </c>
      <c r="I4" s="57">
        <v>24.124273631511102</v>
      </c>
      <c r="J4" s="57">
        <v>10.279226666570899</v>
      </c>
      <c r="K4" s="57">
        <v>92.895142354834903</v>
      </c>
      <c r="L4" s="60">
        <v>32</v>
      </c>
      <c r="M4" s="60" t="s">
        <v>87</v>
      </c>
      <c r="N4" s="60">
        <v>13</v>
      </c>
      <c r="O4" s="57">
        <v>1444.1240644833599</v>
      </c>
      <c r="P4" s="60" t="s">
        <v>184</v>
      </c>
      <c r="Q4" s="61">
        <v>14.3134908045333</v>
      </c>
      <c r="R4" s="61">
        <v>16.901494425066701</v>
      </c>
      <c r="S4" s="62">
        <v>15.29</v>
      </c>
    </row>
    <row r="5" spans="1:19" s="55" customFormat="1" ht="15.75" customHeight="1">
      <c r="A5" s="55" t="str">
        <f t="shared" si="0"/>
        <v>Trastuzumab ADC_2K_loss_deglyc</v>
      </c>
      <c r="B5" s="56">
        <v>0</v>
      </c>
      <c r="C5" s="55" t="s">
        <v>19</v>
      </c>
      <c r="D5" s="55" t="s">
        <v>27</v>
      </c>
      <c r="E5" s="57">
        <v>146439.93488125899</v>
      </c>
      <c r="F5" s="57">
        <v>146437.42404400001</v>
      </c>
      <c r="G5" s="58">
        <v>17.145850694048899</v>
      </c>
      <c r="H5" s="59">
        <v>262356630.4375</v>
      </c>
      <c r="I5" s="57">
        <v>21.921423997937101</v>
      </c>
      <c r="J5" s="57">
        <v>9.3406039730236792</v>
      </c>
      <c r="K5" s="57">
        <v>87.854732834749896</v>
      </c>
      <c r="L5" s="60">
        <v>35</v>
      </c>
      <c r="M5" s="60" t="s">
        <v>186</v>
      </c>
      <c r="N5" s="60">
        <v>13</v>
      </c>
      <c r="O5" s="57">
        <v>-761.57814125684695</v>
      </c>
      <c r="P5" s="60" t="s">
        <v>184</v>
      </c>
      <c r="Q5" s="61">
        <v>14.3134908045333</v>
      </c>
      <c r="R5" s="61">
        <v>16.901494425066701</v>
      </c>
      <c r="S5" s="62">
        <v>15.29</v>
      </c>
    </row>
    <row r="6" spans="1:19" s="55" customFormat="1" ht="15.75" customHeight="1">
      <c r="A6" s="55" t="str">
        <f t="shared" si="0"/>
        <v>Trastuzumab ADC_2K_loss_deglyc_A2G1F</v>
      </c>
      <c r="B6" s="56">
        <v>1</v>
      </c>
      <c r="C6" s="55" t="s">
        <v>29</v>
      </c>
      <c r="D6" s="55" t="s">
        <v>20</v>
      </c>
      <c r="E6" s="57">
        <v>148807.80074363301</v>
      </c>
      <c r="F6" s="57">
        <v>148806.92054399999</v>
      </c>
      <c r="G6" s="58">
        <f>ABS(E6-F6)/F6*1000000</f>
        <v>5.9150450113278978</v>
      </c>
      <c r="H6" s="59">
        <v>235753427.5</v>
      </c>
      <c r="I6" s="57">
        <v>19.698571841245101</v>
      </c>
      <c r="J6" s="57">
        <v>8.3934583091199393</v>
      </c>
      <c r="K6" s="57">
        <v>89.305357004501204</v>
      </c>
      <c r="L6" s="60">
        <v>28</v>
      </c>
      <c r="M6" s="60" t="s">
        <v>124</v>
      </c>
      <c r="N6" s="60">
        <v>13</v>
      </c>
      <c r="O6" s="57">
        <v>1606.2877211171401</v>
      </c>
      <c r="P6" s="60" t="s">
        <v>184</v>
      </c>
      <c r="Q6" s="61">
        <v>14.3134908045333</v>
      </c>
      <c r="R6" s="61">
        <v>16.901494425066701</v>
      </c>
      <c r="S6" s="62">
        <v>15.29</v>
      </c>
    </row>
    <row r="7" spans="1:19" s="55" customFormat="1" ht="15.75" customHeight="1">
      <c r="A7" s="55" t="str">
        <f t="shared" si="0"/>
        <v>Trastuzumab ADC_2K_loss_deglyc_A2G0F</v>
      </c>
      <c r="B7" s="56">
        <v>2</v>
      </c>
      <c r="C7" s="55" t="s">
        <v>25</v>
      </c>
      <c r="D7" s="55" t="s">
        <v>23</v>
      </c>
      <c r="E7" s="57">
        <v>149405.96275235299</v>
      </c>
      <c r="F7" s="57">
        <v>149405.77804400001</v>
      </c>
      <c r="G7" s="58">
        <f>ABS(E7-F7)/F7*1000000</f>
        <v>1.23628654396548</v>
      </c>
      <c r="H7" s="59">
        <v>78534140.75</v>
      </c>
      <c r="I7" s="57">
        <v>6.5619849358145297</v>
      </c>
      <c r="J7" s="57">
        <v>2.79602741902892</v>
      </c>
      <c r="K7" s="57">
        <v>60.549419870938699</v>
      </c>
      <c r="L7" s="60">
        <v>23</v>
      </c>
      <c r="M7" s="60" t="s">
        <v>187</v>
      </c>
      <c r="N7" s="60">
        <v>9</v>
      </c>
      <c r="O7" s="57">
        <v>2204.4497298371298</v>
      </c>
      <c r="P7" s="60" t="s">
        <v>188</v>
      </c>
      <c r="Q7" s="61">
        <v>14.4752068221333</v>
      </c>
      <c r="R7" s="61">
        <v>16.901494425066701</v>
      </c>
      <c r="S7" s="62">
        <v>15.29</v>
      </c>
    </row>
    <row r="8" spans="1:19" s="55" customFormat="1" ht="15.75" customHeight="1">
      <c r="A8" s="55" t="str">
        <f t="shared" si="0"/>
        <v>Trastuzumab ADC_2K_loss_deglyc_A2G1F</v>
      </c>
      <c r="B8" s="56">
        <v>2</v>
      </c>
      <c r="C8" s="55" t="s">
        <v>29</v>
      </c>
      <c r="D8" s="55" t="s">
        <v>23</v>
      </c>
      <c r="E8" s="57">
        <v>149567.08899103</v>
      </c>
      <c r="F8" s="57">
        <v>149568.922544</v>
      </c>
      <c r="G8" s="58">
        <f>ABS(E8-F8)/F8*1000000</f>
        <v>12.258916750962014</v>
      </c>
      <c r="H8" s="59">
        <v>74170133.125</v>
      </c>
      <c r="I8" s="57">
        <v>6.19734659373509</v>
      </c>
      <c r="J8" s="57">
        <v>2.6406569309135199</v>
      </c>
      <c r="K8" s="57">
        <v>57.3892137657771</v>
      </c>
      <c r="L8" s="60">
        <v>19</v>
      </c>
      <c r="M8" s="60" t="s">
        <v>91</v>
      </c>
      <c r="N8" s="60">
        <v>10</v>
      </c>
      <c r="O8" s="57">
        <v>2365.57596851364</v>
      </c>
      <c r="P8" s="60" t="s">
        <v>189</v>
      </c>
      <c r="Q8" s="61">
        <v>14.3134908045333</v>
      </c>
      <c r="R8" s="61">
        <v>16.420558485600001</v>
      </c>
      <c r="S8" s="62">
        <v>15.29</v>
      </c>
    </row>
    <row r="9" spans="1:19" ht="15.75" customHeight="1">
      <c r="A9" t="str">
        <f t="shared" si="0"/>
        <v>Trastuzumab ADC_2K_loss_deglyc</v>
      </c>
      <c r="B9" s="25">
        <v>0</v>
      </c>
      <c r="C9" t="s">
        <v>19</v>
      </c>
      <c r="D9" t="s">
        <v>190</v>
      </c>
      <c r="E9" s="20">
        <v>147359.67407326499</v>
      </c>
      <c r="F9" s="20">
        <v>147356.59204399999</v>
      </c>
      <c r="G9" s="29">
        <v>20.9150114124228</v>
      </c>
      <c r="H9" s="21">
        <v>42398794.6875</v>
      </c>
      <c r="I9" s="20">
        <v>3.5426662797153599</v>
      </c>
      <c r="J9" s="20">
        <v>1.50951155045951</v>
      </c>
      <c r="K9" s="20">
        <v>54.3921258043286</v>
      </c>
      <c r="L9" s="22">
        <v>15</v>
      </c>
      <c r="M9" s="22" t="s">
        <v>191</v>
      </c>
      <c r="N9" s="22">
        <v>11</v>
      </c>
      <c r="O9" s="20">
        <v>158.161050749011</v>
      </c>
      <c r="P9" s="22" t="s">
        <v>192</v>
      </c>
      <c r="Q9" s="30">
        <v>14.3134908045333</v>
      </c>
      <c r="R9" s="30">
        <v>16.584098598400001</v>
      </c>
      <c r="S9" s="31">
        <v>15.29</v>
      </c>
    </row>
    <row r="10" spans="1:19" ht="15.75" customHeight="1">
      <c r="A10" t="str">
        <f t="shared" si="0"/>
        <v>Trastuzumab ADC_2K_loss_deglyc</v>
      </c>
      <c r="B10" s="25">
        <v>0</v>
      </c>
      <c r="C10" t="s">
        <v>19</v>
      </c>
      <c r="D10" t="s">
        <v>41</v>
      </c>
      <c r="E10" s="20">
        <v>146331.68905999299</v>
      </c>
      <c r="F10" s="20">
        <v>146342.360044</v>
      </c>
      <c r="G10" s="29">
        <v>72.923261363593795</v>
      </c>
      <c r="H10" s="21">
        <v>36362544.625</v>
      </c>
      <c r="I10" s="20">
        <v>3.0383023350542899</v>
      </c>
      <c r="J10" s="20">
        <v>1.29460471476332</v>
      </c>
      <c r="K10" s="20">
        <v>49.619918244739097</v>
      </c>
      <c r="L10" s="22">
        <v>17</v>
      </c>
      <c r="M10" s="22" t="s">
        <v>193</v>
      </c>
      <c r="N10" s="22">
        <v>12</v>
      </c>
      <c r="O10" s="20">
        <v>-869.82396252307797</v>
      </c>
      <c r="P10" s="22" t="s">
        <v>194</v>
      </c>
      <c r="Q10" s="30">
        <v>14.3134908045333</v>
      </c>
      <c r="R10" s="30">
        <v>16.748253573066702</v>
      </c>
      <c r="S10" s="31">
        <v>15.29</v>
      </c>
    </row>
    <row r="11" spans="1:19" ht="15.75" customHeight="1">
      <c r="A11" t="str">
        <f t="shared" si="0"/>
        <v>Trastuzumab ADC_2K_loss_deglyc</v>
      </c>
      <c r="B11" s="25">
        <v>0</v>
      </c>
      <c r="C11" t="s">
        <v>19</v>
      </c>
      <c r="D11" t="s">
        <v>36</v>
      </c>
      <c r="E11" s="20">
        <v>147090.921173799</v>
      </c>
      <c r="F11" s="20">
        <v>147084.24704399999</v>
      </c>
      <c r="G11" s="29">
        <v>45.3741790848511</v>
      </c>
      <c r="H11" s="21">
        <v>30666669.796875</v>
      </c>
      <c r="I11" s="20">
        <v>2.5623788464072299</v>
      </c>
      <c r="J11" s="20">
        <v>1.09181620844501</v>
      </c>
      <c r="K11" s="20">
        <v>74.198790345450703</v>
      </c>
      <c r="L11" s="22">
        <v>27</v>
      </c>
      <c r="M11" s="22" t="s">
        <v>37</v>
      </c>
      <c r="N11" s="22">
        <v>11</v>
      </c>
      <c r="O11" s="20">
        <v>-110.59184871686701</v>
      </c>
      <c r="P11" s="22" t="s">
        <v>184</v>
      </c>
      <c r="Q11" s="30">
        <v>14.3134908045333</v>
      </c>
      <c r="R11" s="30">
        <v>16.901494425066701</v>
      </c>
      <c r="S11" s="31">
        <v>15.45</v>
      </c>
    </row>
    <row r="12" spans="1:19" ht="15.75" customHeight="1">
      <c r="A12">
        <f t="shared" si="0"/>
        <v>0</v>
      </c>
      <c r="E12" s="20">
        <v>147883.11826908399</v>
      </c>
      <c r="F12" s="20">
        <v>0</v>
      </c>
      <c r="G12" s="29">
        <v>0</v>
      </c>
      <c r="H12" s="21">
        <v>23494330.5</v>
      </c>
      <c r="I12" s="20">
        <v>1.9630880901900201</v>
      </c>
      <c r="J12" s="20">
        <v>0.83646155543316203</v>
      </c>
      <c r="K12" s="20">
        <v>50.9771191177202</v>
      </c>
      <c r="L12" s="22">
        <v>14</v>
      </c>
      <c r="M12" s="22" t="s">
        <v>195</v>
      </c>
      <c r="N12" s="22">
        <v>7</v>
      </c>
      <c r="O12" s="20">
        <v>681.60524656821497</v>
      </c>
      <c r="P12" s="22" t="s">
        <v>196</v>
      </c>
      <c r="Q12" s="30">
        <v>14.4752068221333</v>
      </c>
      <c r="R12" s="30">
        <v>16.261929927733298</v>
      </c>
      <c r="S12" s="31">
        <v>15.29</v>
      </c>
    </row>
    <row r="13" spans="1:19" ht="15.75" customHeight="1">
      <c r="A13">
        <f t="shared" si="0"/>
        <v>0</v>
      </c>
      <c r="E13" s="20">
        <v>150412.299472621</v>
      </c>
      <c r="F13" s="20">
        <v>0</v>
      </c>
      <c r="G13" s="29">
        <v>0</v>
      </c>
      <c r="H13" s="21">
        <v>23416339.125</v>
      </c>
      <c r="I13" s="20">
        <v>1.95657154503125</v>
      </c>
      <c r="J13" s="20">
        <v>0.83368488966518495</v>
      </c>
      <c r="K13" s="20">
        <v>44.043285801761598</v>
      </c>
      <c r="L13" s="22">
        <v>16</v>
      </c>
      <c r="M13" s="22" t="s">
        <v>197</v>
      </c>
      <c r="N13" s="22">
        <v>6</v>
      </c>
      <c r="O13" s="20">
        <v>3210.78645010525</v>
      </c>
      <c r="P13" s="22" t="s">
        <v>196</v>
      </c>
      <c r="Q13" s="30">
        <v>14.4752068221333</v>
      </c>
      <c r="R13" s="30">
        <v>16.261929927733298</v>
      </c>
      <c r="S13" s="31">
        <v>15.12</v>
      </c>
    </row>
    <row r="14" spans="1:19" ht="15.75" customHeight="1">
      <c r="A14">
        <f t="shared" si="0"/>
        <v>0</v>
      </c>
      <c r="E14" s="20">
        <v>148059.00049682599</v>
      </c>
      <c r="F14" s="20">
        <v>0</v>
      </c>
      <c r="G14" s="29">
        <v>0</v>
      </c>
      <c r="H14" s="21">
        <v>21184019.09375</v>
      </c>
      <c r="I14" s="20">
        <v>1.77004822108746</v>
      </c>
      <c r="J14" s="20">
        <v>0.754208278070296</v>
      </c>
      <c r="K14" s="20">
        <v>50.410722080310002</v>
      </c>
      <c r="L14" s="22">
        <v>14</v>
      </c>
      <c r="M14" s="22" t="s">
        <v>135</v>
      </c>
      <c r="N14" s="22">
        <v>6</v>
      </c>
      <c r="O14" s="20">
        <v>857.48747430957201</v>
      </c>
      <c r="P14" s="22" t="s">
        <v>198</v>
      </c>
      <c r="Q14" s="30">
        <v>14.6381234018667</v>
      </c>
      <c r="R14" s="30">
        <v>16.901494425066701</v>
      </c>
      <c r="S14" s="31">
        <v>15.12</v>
      </c>
    </row>
    <row r="15" spans="1:19" ht="15.75" customHeight="1">
      <c r="A15">
        <f t="shared" si="0"/>
        <v>0</v>
      </c>
      <c r="E15" s="20">
        <v>148973.42285516299</v>
      </c>
      <c r="F15" s="20">
        <v>0</v>
      </c>
      <c r="G15" s="29">
        <v>0</v>
      </c>
      <c r="H15" s="21">
        <v>15773337.5</v>
      </c>
      <c r="I15" s="20">
        <v>1.3179541887384401</v>
      </c>
      <c r="J15" s="20">
        <v>0.56157337829659104</v>
      </c>
      <c r="K15" s="20">
        <v>42.653051020467302</v>
      </c>
      <c r="L15" s="22">
        <v>13</v>
      </c>
      <c r="M15" s="22" t="s">
        <v>47</v>
      </c>
      <c r="N15" s="22">
        <v>5</v>
      </c>
      <c r="O15" s="20">
        <v>1771.90983264704</v>
      </c>
      <c r="P15" s="22" t="s">
        <v>199</v>
      </c>
      <c r="Q15" s="30">
        <v>14.4752068221333</v>
      </c>
      <c r="R15" s="30">
        <v>16.420558485600001</v>
      </c>
      <c r="S15" s="31">
        <v>15.78</v>
      </c>
    </row>
    <row r="16" spans="1:19" ht="15.75" customHeight="1">
      <c r="A16">
        <f t="shared" si="0"/>
        <v>0</v>
      </c>
      <c r="E16" s="20">
        <v>148434.793698352</v>
      </c>
      <c r="F16" s="20">
        <v>0</v>
      </c>
      <c r="G16" s="29">
        <v>0</v>
      </c>
      <c r="H16" s="21">
        <v>15369554</v>
      </c>
      <c r="I16" s="20">
        <v>1.2842157465288599</v>
      </c>
      <c r="J16" s="20">
        <v>0.54719760474391799</v>
      </c>
      <c r="K16" s="20">
        <v>41.996168678782603</v>
      </c>
      <c r="L16" s="22">
        <v>10</v>
      </c>
      <c r="M16" s="22" t="s">
        <v>93</v>
      </c>
      <c r="N16" s="22">
        <v>4</v>
      </c>
      <c r="O16" s="20">
        <v>1233.28067583547</v>
      </c>
      <c r="P16" s="22" t="s">
        <v>200</v>
      </c>
      <c r="Q16" s="30">
        <v>14.7958418562667</v>
      </c>
      <c r="R16" s="30">
        <v>15.9388609424</v>
      </c>
      <c r="S16" s="31">
        <v>15.29</v>
      </c>
    </row>
    <row r="17" spans="1:19" ht="15.75" customHeight="1">
      <c r="A17">
        <f t="shared" si="0"/>
        <v>0</v>
      </c>
      <c r="E17" s="20">
        <v>150250.71485109499</v>
      </c>
      <c r="F17" s="20">
        <v>0</v>
      </c>
      <c r="G17" s="29">
        <v>0</v>
      </c>
      <c r="H17" s="21">
        <v>15338086.75</v>
      </c>
      <c r="I17" s="20">
        <v>1.2815864617938899</v>
      </c>
      <c r="J17" s="20">
        <v>0.54607728028671298</v>
      </c>
      <c r="K17" s="20">
        <v>41.091804733749001</v>
      </c>
      <c r="L17" s="22">
        <v>11</v>
      </c>
      <c r="M17" s="22" t="s">
        <v>201</v>
      </c>
      <c r="N17" s="22">
        <v>3</v>
      </c>
      <c r="O17" s="20">
        <v>3049.2018285785198</v>
      </c>
      <c r="P17" s="22" t="s">
        <v>202</v>
      </c>
      <c r="Q17" s="30">
        <v>14.4752068221333</v>
      </c>
      <c r="R17" s="30">
        <v>15.6144889024</v>
      </c>
      <c r="S17" s="31">
        <v>14.96</v>
      </c>
    </row>
    <row r="18" spans="1:19" ht="15.75" customHeight="1">
      <c r="A18">
        <f t="shared" si="0"/>
        <v>0</v>
      </c>
      <c r="E18" s="20">
        <v>148528.644479991</v>
      </c>
      <c r="F18" s="20">
        <v>0</v>
      </c>
      <c r="G18" s="29">
        <v>0</v>
      </c>
      <c r="H18" s="21">
        <v>12192643.5</v>
      </c>
      <c r="I18" s="20">
        <v>1.01876638565946</v>
      </c>
      <c r="J18" s="20">
        <v>0.43409102211467698</v>
      </c>
      <c r="K18" s="20">
        <v>37.058587582820003</v>
      </c>
      <c r="L18" s="22">
        <v>11</v>
      </c>
      <c r="M18" s="22" t="s">
        <v>102</v>
      </c>
      <c r="N18" s="22">
        <v>5</v>
      </c>
      <c r="O18" s="20">
        <v>1327.13145747513</v>
      </c>
      <c r="P18" s="22" t="s">
        <v>203</v>
      </c>
      <c r="Q18" s="30">
        <v>14.4752068221333</v>
      </c>
      <c r="R18" s="30">
        <v>15.9388609424</v>
      </c>
      <c r="S18" s="31">
        <v>15.29</v>
      </c>
    </row>
    <row r="19" spans="1:19" ht="15.75" customHeight="1">
      <c r="A19">
        <f t="shared" si="0"/>
        <v>0</v>
      </c>
      <c r="E19" s="20">
        <v>79632.246353470997</v>
      </c>
      <c r="F19" s="20">
        <v>0</v>
      </c>
      <c r="G19" s="29">
        <v>0</v>
      </c>
      <c r="H19" s="21">
        <v>10071742.1875</v>
      </c>
      <c r="I19" s="20">
        <v>0.84155271430779499</v>
      </c>
      <c r="J19" s="20">
        <v>0.35858120473888699</v>
      </c>
      <c r="K19" s="20">
        <v>34.508904893341303</v>
      </c>
      <c r="L19" s="22">
        <v>8</v>
      </c>
      <c r="M19" s="22" t="s">
        <v>204</v>
      </c>
      <c r="N19" s="22">
        <v>4</v>
      </c>
      <c r="O19" s="20">
        <v>-67569.266669045101</v>
      </c>
      <c r="P19" s="22" t="s">
        <v>205</v>
      </c>
      <c r="Q19" s="30">
        <v>14.963184854133299</v>
      </c>
      <c r="R19" s="30">
        <v>16.104019596800001</v>
      </c>
      <c r="S19" s="31">
        <v>15.45</v>
      </c>
    </row>
    <row r="20" spans="1:19" ht="15.75" customHeight="1">
      <c r="A20">
        <f t="shared" si="0"/>
        <v>0</v>
      </c>
      <c r="E20" s="20">
        <v>128132.44875923501</v>
      </c>
      <c r="F20" s="20">
        <v>0</v>
      </c>
      <c r="G20" s="29">
        <v>0</v>
      </c>
      <c r="H20" s="21">
        <v>7834252.6875</v>
      </c>
      <c r="I20" s="20">
        <v>0.65459743180386398</v>
      </c>
      <c r="J20" s="20">
        <v>0.27892053786349102</v>
      </c>
      <c r="K20" s="20">
        <v>13.9657770035705</v>
      </c>
      <c r="L20" s="22">
        <v>9</v>
      </c>
      <c r="M20" s="22" t="s">
        <v>206</v>
      </c>
      <c r="N20" s="22">
        <v>5</v>
      </c>
      <c r="O20" s="20">
        <v>-19069.064263280801</v>
      </c>
      <c r="P20" s="22" t="s">
        <v>207</v>
      </c>
      <c r="Q20" s="30">
        <v>14.6381234018667</v>
      </c>
      <c r="R20" s="30">
        <v>15.9388609424</v>
      </c>
      <c r="S20" s="31">
        <v>15.29</v>
      </c>
    </row>
    <row r="21" spans="1:19" ht="15.75" customHeight="1">
      <c r="A21">
        <f t="shared" si="0"/>
        <v>0</v>
      </c>
      <c r="E21" s="20">
        <v>85208.315182653794</v>
      </c>
      <c r="F21" s="20">
        <v>0</v>
      </c>
      <c r="G21" s="29">
        <v>0</v>
      </c>
      <c r="H21" s="21">
        <v>7062154.375</v>
      </c>
      <c r="I21" s="20">
        <v>0.59008412669144505</v>
      </c>
      <c r="J21" s="20">
        <v>0.25143175638183901</v>
      </c>
      <c r="K21" s="20">
        <v>16.8655398915535</v>
      </c>
      <c r="L21" s="22">
        <v>10</v>
      </c>
      <c r="M21" s="22" t="s">
        <v>208</v>
      </c>
      <c r="N21" s="22">
        <v>4</v>
      </c>
      <c r="O21" s="20">
        <v>-61993.197839862303</v>
      </c>
      <c r="P21" s="22" t="s">
        <v>209</v>
      </c>
      <c r="Q21" s="30">
        <v>14.6381234018667</v>
      </c>
      <c r="R21" s="30">
        <v>15.7738564624</v>
      </c>
      <c r="S21" s="31">
        <v>15.12</v>
      </c>
    </row>
    <row r="22" spans="1:19" ht="15.75" customHeight="1">
      <c r="A22">
        <f t="shared" si="0"/>
        <v>0</v>
      </c>
      <c r="E22" s="20">
        <v>110931.69954926</v>
      </c>
      <c r="F22" s="20">
        <v>0</v>
      </c>
      <c r="G22" s="29">
        <v>0</v>
      </c>
      <c r="H22" s="21">
        <v>5431617.625</v>
      </c>
      <c r="I22" s="20">
        <v>0.45384329204907797</v>
      </c>
      <c r="J22" s="20">
        <v>0.193380250171827</v>
      </c>
      <c r="K22" s="20">
        <v>21.246604562049299</v>
      </c>
      <c r="L22" s="22">
        <v>9</v>
      </c>
      <c r="M22" s="22" t="s">
        <v>210</v>
      </c>
      <c r="N22" s="22">
        <v>4</v>
      </c>
      <c r="O22" s="20">
        <v>-36269.813473255897</v>
      </c>
      <c r="P22" s="22" t="s">
        <v>209</v>
      </c>
      <c r="Q22" s="30">
        <v>14.6381234018667</v>
      </c>
      <c r="R22" s="30">
        <v>15.7738564624</v>
      </c>
      <c r="S22" s="31">
        <v>15.29</v>
      </c>
    </row>
    <row r="23" spans="1:19" ht="15.75" customHeight="1">
      <c r="A23">
        <f t="shared" si="0"/>
        <v>0</v>
      </c>
      <c r="E23" s="20">
        <v>73114.507607525593</v>
      </c>
      <c r="F23" s="20">
        <v>0</v>
      </c>
      <c r="G23" s="29">
        <v>0</v>
      </c>
      <c r="H23" s="21">
        <v>4996841.25</v>
      </c>
      <c r="I23" s="20">
        <v>0.41751519765551298</v>
      </c>
      <c r="J23" s="20">
        <v>0.17790103938438701</v>
      </c>
      <c r="K23" s="20">
        <v>28.864447299741698</v>
      </c>
      <c r="L23" s="22">
        <v>11</v>
      </c>
      <c r="M23" s="22" t="s">
        <v>211</v>
      </c>
      <c r="N23" s="22">
        <v>3</v>
      </c>
      <c r="O23" s="20">
        <v>-74087.005414990505</v>
      </c>
      <c r="P23" s="22" t="s">
        <v>212</v>
      </c>
      <c r="Q23" s="30">
        <v>14.3134908045333</v>
      </c>
      <c r="R23" s="30">
        <v>15.2868804938667</v>
      </c>
      <c r="S23" s="31">
        <v>14.8</v>
      </c>
    </row>
    <row r="24" spans="1:19" ht="15.75" customHeight="1">
      <c r="A24">
        <f t="shared" si="0"/>
        <v>0</v>
      </c>
      <c r="E24" s="20">
        <v>61336.0141460581</v>
      </c>
      <c r="F24" s="20">
        <v>0</v>
      </c>
      <c r="G24" s="29">
        <v>0</v>
      </c>
      <c r="H24" s="21">
        <v>4607320.1875</v>
      </c>
      <c r="I24" s="20">
        <v>0.384968437421702</v>
      </c>
      <c r="J24" s="20">
        <v>0.16403303528129601</v>
      </c>
      <c r="K24" s="20">
        <v>18.753490600809599</v>
      </c>
      <c r="L24" s="22">
        <v>7</v>
      </c>
      <c r="M24" s="22" t="s">
        <v>112</v>
      </c>
      <c r="N24" s="22">
        <v>3</v>
      </c>
      <c r="O24" s="20">
        <v>-85865.498876458005</v>
      </c>
      <c r="P24" s="22" t="s">
        <v>213</v>
      </c>
      <c r="Q24" s="30">
        <v>14.4752068221333</v>
      </c>
      <c r="R24" s="30">
        <v>16.104019596800001</v>
      </c>
      <c r="S24" s="31">
        <v>14.96</v>
      </c>
    </row>
    <row r="25" spans="1:19" ht="15.75" customHeight="1">
      <c r="A25">
        <f t="shared" si="0"/>
        <v>0</v>
      </c>
      <c r="E25" s="20">
        <v>100781.09845436399</v>
      </c>
      <c r="F25" s="20">
        <v>0</v>
      </c>
      <c r="G25" s="29">
        <v>0</v>
      </c>
      <c r="H25" s="21">
        <v>4340420.875</v>
      </c>
      <c r="I25" s="20">
        <v>0.362667445741715</v>
      </c>
      <c r="J25" s="20">
        <v>0.154530699506573</v>
      </c>
      <c r="K25" s="20">
        <v>38.140300058871503</v>
      </c>
      <c r="L25" s="22">
        <v>8</v>
      </c>
      <c r="M25" s="22" t="s">
        <v>214</v>
      </c>
      <c r="N25" s="22">
        <v>3</v>
      </c>
      <c r="O25" s="20">
        <v>-46420.414568152199</v>
      </c>
      <c r="P25" s="22" t="s">
        <v>215</v>
      </c>
      <c r="Q25" s="30">
        <v>15.126152080800001</v>
      </c>
      <c r="R25" s="30">
        <v>16.104019596800001</v>
      </c>
      <c r="S25" s="31">
        <v>15.61</v>
      </c>
    </row>
    <row r="26" spans="1:19" ht="15.75" customHeight="1">
      <c r="A26" t="str">
        <f t="shared" si="0"/>
        <v>Trastuzumab ADC_intact_deglyc</v>
      </c>
      <c r="C26" t="s">
        <v>144</v>
      </c>
      <c r="D26" t="s">
        <v>216</v>
      </c>
      <c r="E26" s="20">
        <v>147313.65219666899</v>
      </c>
      <c r="F26" s="20">
        <v>147322.57804399999</v>
      </c>
      <c r="G26" s="29">
        <v>60.590768051856102</v>
      </c>
      <c r="H26" s="21">
        <v>3690603.8125</v>
      </c>
      <c r="I26" s="20">
        <v>0.30837144377826597</v>
      </c>
      <c r="J26" s="20">
        <v>0.13139545739334099</v>
      </c>
      <c r="K26" s="20">
        <v>32.918165817454401</v>
      </c>
      <c r="L26" s="22">
        <v>12</v>
      </c>
      <c r="M26" s="22" t="s">
        <v>217</v>
      </c>
      <c r="N26" s="22">
        <v>3</v>
      </c>
      <c r="O26" s="20">
        <v>112.139174152922</v>
      </c>
      <c r="P26" s="22" t="s">
        <v>218</v>
      </c>
      <c r="Q26" s="30">
        <v>15.2868804938667</v>
      </c>
      <c r="R26" s="30">
        <v>16.261929927733298</v>
      </c>
      <c r="S26" s="31">
        <v>15.78</v>
      </c>
    </row>
    <row r="27" spans="1:19" ht="15.75" customHeight="1">
      <c r="A27">
        <f t="shared" si="0"/>
        <v>0</v>
      </c>
      <c r="E27" s="20">
        <v>89351.278239176099</v>
      </c>
      <c r="F27" s="20">
        <v>0</v>
      </c>
      <c r="G27" s="29">
        <v>0</v>
      </c>
      <c r="H27" s="21">
        <v>3555407.5625</v>
      </c>
      <c r="I27" s="20">
        <v>0.29707502128177998</v>
      </c>
      <c r="J27" s="20">
        <v>0.1265821109218</v>
      </c>
      <c r="K27" s="20">
        <v>10.9619193107832</v>
      </c>
      <c r="L27" s="22">
        <v>9</v>
      </c>
      <c r="M27" s="22" t="s">
        <v>219</v>
      </c>
      <c r="N27" s="22">
        <v>3</v>
      </c>
      <c r="O27" s="20">
        <v>-57850.234783339998</v>
      </c>
      <c r="P27" s="22" t="s">
        <v>202</v>
      </c>
      <c r="Q27" s="30">
        <v>14.4752068221333</v>
      </c>
      <c r="R27" s="30">
        <v>15.6144889024</v>
      </c>
      <c r="S27" s="31">
        <v>14.96</v>
      </c>
    </row>
    <row r="28" spans="1:19" ht="15.75" customHeight="1">
      <c r="A28">
        <f t="shared" si="0"/>
        <v>0</v>
      </c>
      <c r="E28" s="20">
        <v>49067.406103121801</v>
      </c>
      <c r="F28" s="20">
        <v>0</v>
      </c>
      <c r="G28" s="29">
        <v>0</v>
      </c>
      <c r="H28" s="21">
        <v>2999428.65625</v>
      </c>
      <c r="I28" s="20">
        <v>0.25061973098456802</v>
      </c>
      <c r="J28" s="20">
        <v>0.106787754991321</v>
      </c>
      <c r="K28" s="20">
        <v>18.824652997133398</v>
      </c>
      <c r="L28" s="22">
        <v>13</v>
      </c>
      <c r="M28" s="22" t="s">
        <v>220</v>
      </c>
      <c r="N28" s="22">
        <v>3</v>
      </c>
      <c r="O28" s="20">
        <v>-98134.106919394297</v>
      </c>
      <c r="P28" s="22" t="s">
        <v>221</v>
      </c>
      <c r="Q28" s="30">
        <v>14.963184854133299</v>
      </c>
      <c r="R28" s="30">
        <v>16.584098598400001</v>
      </c>
      <c r="S28" s="31">
        <v>15.29</v>
      </c>
    </row>
    <row r="29" spans="1:19" ht="15.75" customHeight="1">
      <c r="A29">
        <f t="shared" si="0"/>
        <v>0</v>
      </c>
      <c r="E29" s="20">
        <v>45837.111267351997</v>
      </c>
      <c r="F29" s="20">
        <v>0</v>
      </c>
      <c r="G29" s="29">
        <v>0</v>
      </c>
      <c r="H29" s="21">
        <v>2488360.5625</v>
      </c>
      <c r="I29" s="20">
        <v>0.20791701124425199</v>
      </c>
      <c r="J29" s="20">
        <v>8.8592349724635699E-2</v>
      </c>
      <c r="K29" s="20">
        <v>9.0736753904834693</v>
      </c>
      <c r="L29" s="22">
        <v>8</v>
      </c>
      <c r="M29" s="22" t="s">
        <v>222</v>
      </c>
      <c r="N29" s="22">
        <v>3</v>
      </c>
      <c r="O29" s="20">
        <v>-101364.401755164</v>
      </c>
      <c r="P29" s="22" t="s">
        <v>223</v>
      </c>
      <c r="Q29" s="30">
        <v>14.4752068221333</v>
      </c>
      <c r="R29" s="30">
        <v>15.451553860800001</v>
      </c>
      <c r="S29" s="31">
        <v>14.96</v>
      </c>
    </row>
    <row r="30" spans="1:19" ht="15.75" customHeight="1">
      <c r="A30">
        <f t="shared" si="0"/>
        <v>0</v>
      </c>
      <c r="E30" s="20">
        <v>45786.466139420103</v>
      </c>
      <c r="F30" s="20">
        <v>0</v>
      </c>
      <c r="G30" s="29">
        <v>0</v>
      </c>
      <c r="H30" s="21">
        <v>1596586.09375</v>
      </c>
      <c r="I30" s="20">
        <v>0.13340406851575001</v>
      </c>
      <c r="J30" s="20">
        <v>5.68427750183109E-2</v>
      </c>
      <c r="K30" s="20">
        <v>17.831647190141702</v>
      </c>
      <c r="L30" s="22">
        <v>11</v>
      </c>
      <c r="M30" s="22" t="s">
        <v>224</v>
      </c>
      <c r="N30" s="22">
        <v>3</v>
      </c>
      <c r="O30" s="20">
        <v>-101415.046883096</v>
      </c>
      <c r="P30" s="22" t="s">
        <v>225</v>
      </c>
      <c r="Q30" s="30">
        <v>15.126152080800001</v>
      </c>
      <c r="R30" s="30">
        <v>16.584098598400001</v>
      </c>
      <c r="S30" s="31">
        <v>15.45</v>
      </c>
    </row>
    <row r="31" spans="1:19" ht="15.75" customHeight="1">
      <c r="A31">
        <f t="shared" si="0"/>
        <v>0</v>
      </c>
      <c r="E31" s="20">
        <v>45382.172615156</v>
      </c>
      <c r="F31" s="20">
        <v>0</v>
      </c>
      <c r="G31" s="29">
        <v>0</v>
      </c>
      <c r="H31" s="21">
        <v>1000360.875</v>
      </c>
      <c r="I31" s="20">
        <v>8.3585975834456705E-2</v>
      </c>
      <c r="J31" s="20">
        <v>3.5615546601436898E-2</v>
      </c>
      <c r="K31" s="20">
        <v>34.279515980150201</v>
      </c>
      <c r="L31" s="22">
        <v>7</v>
      </c>
      <c r="M31" s="22" t="s">
        <v>73</v>
      </c>
      <c r="N31" s="22">
        <v>5</v>
      </c>
      <c r="O31" s="20">
        <v>-101819.34040736</v>
      </c>
      <c r="P31" s="22" t="s">
        <v>226</v>
      </c>
      <c r="Q31" s="30">
        <v>13.506366391466701</v>
      </c>
      <c r="R31" s="30">
        <v>14.7958418562667</v>
      </c>
      <c r="S31" s="31">
        <v>13.98</v>
      </c>
    </row>
    <row r="32" spans="1:19" ht="15.75" customHeight="1">
      <c r="A32">
        <f t="shared" si="0"/>
        <v>0</v>
      </c>
      <c r="E32" s="20">
        <v>41556.840802956896</v>
      </c>
      <c r="F32" s="20">
        <v>0</v>
      </c>
      <c r="G32" s="29">
        <v>0</v>
      </c>
      <c r="H32" s="21">
        <v>591039.21875</v>
      </c>
      <c r="I32" s="20">
        <v>4.93847711167687E-2</v>
      </c>
      <c r="J32" s="20">
        <v>2.1042592367337201E-2</v>
      </c>
      <c r="K32" s="20">
        <v>35.339427204846103</v>
      </c>
      <c r="L32" s="22">
        <v>6</v>
      </c>
      <c r="M32" s="22" t="s">
        <v>227</v>
      </c>
      <c r="N32" s="22">
        <v>3</v>
      </c>
      <c r="O32" s="20">
        <v>-105644.672219559</v>
      </c>
      <c r="P32" s="22" t="s">
        <v>77</v>
      </c>
      <c r="Q32" s="30">
        <v>13.8195962882667</v>
      </c>
      <c r="R32" s="30">
        <v>14.7958418562667</v>
      </c>
      <c r="S32" s="31">
        <v>14.31</v>
      </c>
    </row>
    <row r="33" spans="1:19" ht="15.75" customHeight="1">
      <c r="A33">
        <f t="shared" si="0"/>
        <v>0</v>
      </c>
      <c r="E33" s="20">
        <v>43403.662263796403</v>
      </c>
      <c r="F33" s="20">
        <v>0</v>
      </c>
      <c r="G33" s="29">
        <v>0</v>
      </c>
      <c r="H33" s="21">
        <v>547369.234375</v>
      </c>
      <c r="I33" s="20">
        <v>4.5735886728179499E-2</v>
      </c>
      <c r="J33" s="20">
        <v>1.94878218369024E-2</v>
      </c>
      <c r="K33" s="20">
        <v>33.384084749402</v>
      </c>
      <c r="L33" s="22">
        <v>6</v>
      </c>
      <c r="M33" s="22" t="s">
        <v>76</v>
      </c>
      <c r="N33" s="22">
        <v>3</v>
      </c>
      <c r="O33" s="20">
        <v>-103797.85075872</v>
      </c>
      <c r="P33" s="22" t="s">
        <v>228</v>
      </c>
      <c r="Q33" s="30">
        <v>13.6511980384</v>
      </c>
      <c r="R33" s="30">
        <v>14.7958418562667</v>
      </c>
      <c r="S33" s="31">
        <v>13.98</v>
      </c>
    </row>
    <row r="34" spans="1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1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1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1:19" ht="15.75" customHeight="1">
      <c r="D37" s="18"/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1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1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1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1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1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1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1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1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1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1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1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20"/>
      <c r="F55" s="20"/>
      <c r="G55" s="29"/>
      <c r="H55" s="21"/>
      <c r="I55" s="20"/>
      <c r="J55" s="20"/>
      <c r="K55" s="20"/>
      <c r="L55" s="22"/>
      <c r="M55" s="22"/>
      <c r="N55" s="22"/>
      <c r="O55" s="20"/>
      <c r="P55" s="22"/>
      <c r="Q55" s="30"/>
      <c r="R55" s="30"/>
      <c r="S55" s="31"/>
    </row>
    <row r="56" spans="5:19" ht="15.75" customHeight="1">
      <c r="E56" s="20"/>
      <c r="F56" s="20"/>
      <c r="G56" s="29"/>
      <c r="H56" s="21"/>
      <c r="I56" s="20"/>
      <c r="J56" s="20"/>
      <c r="K56" s="20"/>
      <c r="L56" s="22"/>
      <c r="M56" s="22"/>
      <c r="N56" s="22"/>
      <c r="O56" s="20"/>
      <c r="P56" s="22"/>
      <c r="Q56" s="30"/>
      <c r="R56" s="30"/>
      <c r="S56" s="31"/>
    </row>
    <row r="57" spans="5:19" ht="15.75" customHeight="1">
      <c r="E57" s="20"/>
      <c r="F57" s="20"/>
      <c r="G57" s="29"/>
      <c r="H57" s="21"/>
      <c r="I57" s="20"/>
      <c r="J57" s="20"/>
      <c r="K57" s="20"/>
      <c r="L57" s="22"/>
      <c r="M57" s="22"/>
      <c r="N57" s="22"/>
      <c r="O57" s="20"/>
      <c r="P57" s="22"/>
      <c r="Q57" s="30"/>
      <c r="R57" s="30"/>
      <c r="S57" s="31"/>
    </row>
    <row r="58" spans="5:19" ht="15.75" customHeight="1">
      <c r="E58" s="20"/>
      <c r="F58" s="20"/>
      <c r="G58" s="29"/>
      <c r="H58" s="21"/>
      <c r="I58" s="20"/>
      <c r="J58" s="20"/>
      <c r="K58" s="20"/>
      <c r="L58" s="22"/>
      <c r="M58" s="22"/>
      <c r="N58" s="22"/>
      <c r="O58" s="20"/>
      <c r="P58" s="22"/>
      <c r="Q58" s="30"/>
      <c r="R58" s="30"/>
      <c r="S58" s="31"/>
    </row>
    <row r="59" spans="5:19" ht="15.75" customHeight="1">
      <c r="E59" s="20"/>
      <c r="F59" s="20"/>
      <c r="G59" s="29"/>
      <c r="H59" s="21"/>
      <c r="I59" s="20"/>
      <c r="J59" s="20"/>
      <c r="K59" s="20"/>
      <c r="L59" s="22"/>
      <c r="M59" s="22"/>
      <c r="N59" s="22"/>
      <c r="O59" s="20"/>
      <c r="P59" s="22"/>
      <c r="Q59" s="30"/>
      <c r="R59" s="30"/>
      <c r="S59" s="31"/>
    </row>
    <row r="60" spans="5:19" ht="15.75" customHeight="1">
      <c r="E60" s="20"/>
      <c r="F60" s="20"/>
      <c r="G60" s="29"/>
      <c r="H60" s="21"/>
      <c r="I60" s="20"/>
      <c r="J60" s="20"/>
      <c r="K60" s="20"/>
      <c r="L60" s="22"/>
      <c r="M60" s="22"/>
      <c r="N60" s="22"/>
      <c r="O60" s="20"/>
      <c r="P60" s="22"/>
      <c r="Q60" s="30"/>
      <c r="R60" s="30"/>
      <c r="S60" s="31"/>
    </row>
    <row r="61" spans="5:19" ht="15.75" customHeight="1">
      <c r="E61" s="20"/>
      <c r="F61" s="20"/>
      <c r="G61" s="29"/>
      <c r="H61" s="21"/>
      <c r="I61" s="20"/>
      <c r="J61" s="20"/>
      <c r="K61" s="20"/>
      <c r="L61" s="22"/>
      <c r="M61" s="22"/>
      <c r="N61" s="22"/>
      <c r="O61" s="20"/>
      <c r="P61" s="22"/>
      <c r="Q61" s="30"/>
      <c r="R61" s="30"/>
      <c r="S61" s="31"/>
    </row>
    <row r="62" spans="5:19" ht="15.75" customHeight="1">
      <c r="E62" s="20"/>
      <c r="F62" s="20"/>
      <c r="G62" s="29"/>
      <c r="H62" s="21"/>
      <c r="I62" s="20"/>
      <c r="J62" s="20"/>
      <c r="K62" s="20"/>
      <c r="L62" s="22"/>
      <c r="M62" s="22"/>
      <c r="N62" s="22"/>
      <c r="O62" s="20"/>
      <c r="P62" s="22"/>
      <c r="Q62" s="30"/>
      <c r="R62" s="30"/>
      <c r="S62" s="31"/>
    </row>
    <row r="63" spans="5:19" ht="15.75" customHeight="1">
      <c r="E63" s="20"/>
      <c r="F63" s="20"/>
      <c r="G63" s="29"/>
      <c r="H63" s="21"/>
      <c r="I63" s="20"/>
      <c r="J63" s="20"/>
      <c r="K63" s="20"/>
      <c r="L63" s="22"/>
      <c r="M63" s="22"/>
      <c r="N63" s="22"/>
      <c r="O63" s="20"/>
      <c r="P63" s="22"/>
      <c r="Q63" s="30"/>
      <c r="R63" s="30"/>
      <c r="S63" s="31"/>
    </row>
    <row r="64" spans="5:19" ht="15.75" customHeight="1">
      <c r="E64" s="20"/>
      <c r="F64" s="20"/>
      <c r="G64" s="29"/>
      <c r="H64" s="21"/>
      <c r="I64" s="20"/>
      <c r="J64" s="20"/>
      <c r="K64" s="20"/>
      <c r="L64" s="22"/>
      <c r="M64" s="22"/>
      <c r="N64" s="22"/>
      <c r="O64" s="20"/>
      <c r="P64" s="22"/>
      <c r="Q64" s="30"/>
      <c r="R64" s="30"/>
      <c r="S64" s="31"/>
    </row>
    <row r="65" spans="5:19" ht="15.75" customHeight="1">
      <c r="E65" s="20"/>
      <c r="F65" s="20"/>
      <c r="G65" s="29"/>
      <c r="H65" s="21"/>
      <c r="I65" s="20"/>
      <c r="J65" s="20"/>
      <c r="K65" s="20"/>
      <c r="L65" s="22"/>
      <c r="M65" s="22"/>
      <c r="N65" s="22"/>
      <c r="O65" s="20"/>
      <c r="P65" s="22"/>
      <c r="Q65" s="30"/>
      <c r="R65" s="30"/>
      <c r="S65" s="31"/>
    </row>
    <row r="66" spans="5:19" ht="15.75" customHeight="1">
      <c r="E66" s="20"/>
      <c r="F66" s="20"/>
      <c r="G66" s="29"/>
      <c r="H66" s="21"/>
      <c r="I66" s="20"/>
      <c r="J66" s="20"/>
      <c r="K66" s="20"/>
      <c r="L66" s="22"/>
      <c r="M66" s="22"/>
      <c r="N66" s="22"/>
      <c r="O66" s="20"/>
      <c r="P66" s="22"/>
      <c r="Q66" s="30"/>
      <c r="R66" s="30"/>
      <c r="S66" s="31"/>
    </row>
    <row r="67" spans="5:19" ht="15.75" customHeight="1">
      <c r="E67" s="20"/>
      <c r="F67" s="20"/>
      <c r="G67" s="29"/>
      <c r="H67" s="21"/>
      <c r="I67" s="20"/>
      <c r="J67" s="20"/>
      <c r="K67" s="20"/>
      <c r="L67" s="22"/>
      <c r="M67" s="22"/>
      <c r="N67" s="22"/>
      <c r="O67" s="20"/>
      <c r="P67" s="22"/>
      <c r="Q67" s="30"/>
      <c r="R67" s="30"/>
      <c r="S67" s="31"/>
    </row>
    <row r="68" spans="5:19" ht="15.75" customHeight="1">
      <c r="E68" s="20"/>
      <c r="F68" s="20"/>
      <c r="G68" s="29"/>
      <c r="H68" s="21"/>
      <c r="I68" s="20"/>
      <c r="J68" s="20"/>
      <c r="K68" s="20"/>
      <c r="L68" s="22"/>
      <c r="M68" s="22"/>
      <c r="N68" s="22"/>
      <c r="O68" s="20"/>
      <c r="P68" s="22"/>
      <c r="Q68" s="30"/>
      <c r="R68" s="30"/>
      <c r="S68" s="31"/>
    </row>
    <row r="69" spans="5:19" ht="15.75" customHeight="1">
      <c r="E69" s="20"/>
      <c r="F69" s="20"/>
      <c r="G69" s="29"/>
      <c r="H69" s="21"/>
      <c r="I69" s="20"/>
      <c r="J69" s="20"/>
      <c r="K69" s="20"/>
      <c r="L69" s="22"/>
      <c r="M69" s="22"/>
      <c r="N69" s="22"/>
      <c r="O69" s="20"/>
      <c r="P69" s="22"/>
      <c r="Q69" s="30"/>
      <c r="R69" s="30"/>
      <c r="S69" s="31"/>
    </row>
    <row r="70" spans="5:19" ht="15.75" customHeight="1">
      <c r="E70" s="20"/>
      <c r="F70" s="20"/>
      <c r="G70" s="29"/>
      <c r="H70" s="21"/>
      <c r="I70" s="20"/>
      <c r="J70" s="20"/>
      <c r="K70" s="20"/>
      <c r="L70" s="22"/>
      <c r="M70" s="22"/>
      <c r="N70" s="22"/>
      <c r="O70" s="20"/>
      <c r="P70" s="22"/>
      <c r="Q70" s="30"/>
      <c r="R70" s="30"/>
      <c r="S70" s="31"/>
    </row>
    <row r="71" spans="5:19" ht="15.75" customHeight="1">
      <c r="E71" s="20"/>
      <c r="F71" s="20"/>
      <c r="G71" s="29"/>
      <c r="H71" s="21"/>
      <c r="I71" s="20"/>
      <c r="J71" s="20"/>
      <c r="K71" s="20"/>
      <c r="L71" s="22"/>
      <c r="M71" s="22"/>
      <c r="N71" s="22"/>
      <c r="O71" s="20"/>
      <c r="P71" s="22"/>
      <c r="Q71" s="30"/>
      <c r="R71" s="30"/>
      <c r="S71" s="31"/>
    </row>
    <row r="72" spans="5:19" ht="15.75" customHeight="1">
      <c r="E72" s="20"/>
      <c r="F72" s="20"/>
      <c r="G72" s="29"/>
      <c r="H72" s="21"/>
      <c r="I72" s="20"/>
      <c r="J72" s="20"/>
      <c r="K72" s="20"/>
      <c r="L72" s="22"/>
      <c r="M72" s="22"/>
      <c r="N72" s="22"/>
      <c r="O72" s="20"/>
      <c r="P72" s="22"/>
      <c r="Q72" s="30"/>
      <c r="R72" s="30"/>
      <c r="S72" s="31"/>
    </row>
    <row r="73" spans="5:19" ht="15.75" customHeight="1">
      <c r="E73" s="20"/>
      <c r="F73" s="20"/>
      <c r="G73" s="29"/>
      <c r="H73" s="21"/>
      <c r="I73" s="20"/>
      <c r="J73" s="20"/>
      <c r="K73" s="20"/>
      <c r="L73" s="22"/>
      <c r="M73" s="22"/>
      <c r="N73" s="22"/>
      <c r="O73" s="20"/>
      <c r="P73" s="22"/>
      <c r="Q73" s="30"/>
      <c r="R73" s="30"/>
      <c r="S73" s="31"/>
    </row>
    <row r="74" spans="5:19" ht="15.75" customHeight="1">
      <c r="E74" s="20"/>
      <c r="F74" s="20"/>
      <c r="G74" s="29"/>
      <c r="H74" s="21"/>
      <c r="I74" s="20"/>
      <c r="J74" s="20"/>
      <c r="K74" s="20"/>
      <c r="L74" s="22"/>
      <c r="M74" s="22"/>
      <c r="N74" s="22"/>
      <c r="O74" s="20"/>
      <c r="P74" s="22"/>
      <c r="Q74" s="30"/>
      <c r="R74" s="30"/>
      <c r="S74" s="31"/>
    </row>
    <row r="75" spans="5:19" ht="15.75" customHeight="1">
      <c r="E75" s="20"/>
      <c r="F75" s="20"/>
      <c r="G75" s="29"/>
      <c r="H75" s="21"/>
      <c r="I75" s="20"/>
      <c r="J75" s="20"/>
      <c r="K75" s="20"/>
      <c r="L75" s="22"/>
      <c r="M75" s="22"/>
      <c r="N75" s="22"/>
      <c r="O75" s="20"/>
      <c r="P75" s="22"/>
      <c r="Q75" s="30"/>
      <c r="R75" s="30"/>
      <c r="S75" s="31"/>
    </row>
    <row r="76" spans="5:19" ht="15.75" customHeight="1">
      <c r="E76" s="20"/>
      <c r="F76" s="20"/>
      <c r="G76" s="29"/>
      <c r="H76" s="21"/>
      <c r="I76" s="20"/>
      <c r="J76" s="20"/>
      <c r="K76" s="20"/>
      <c r="L76" s="22"/>
      <c r="M76" s="22"/>
      <c r="N76" s="22"/>
      <c r="O76" s="20"/>
      <c r="P76" s="22"/>
      <c r="Q76" s="30"/>
      <c r="R76" s="30"/>
      <c r="S76" s="31"/>
    </row>
    <row r="77" spans="5:19" ht="15.75" customHeight="1">
      <c r="E77" s="20"/>
      <c r="F77" s="20"/>
      <c r="G77" s="29"/>
      <c r="H77" s="21"/>
      <c r="I77" s="20"/>
      <c r="J77" s="20"/>
      <c r="K77" s="20"/>
      <c r="L77" s="22"/>
      <c r="M77" s="22"/>
      <c r="N77" s="22"/>
      <c r="O77" s="20"/>
      <c r="P77" s="22"/>
      <c r="Q77" s="30"/>
      <c r="R77" s="30"/>
      <c r="S77" s="31"/>
    </row>
    <row r="78" spans="5:19" ht="15.75" customHeight="1">
      <c r="E78" s="20"/>
      <c r="F78" s="20"/>
      <c r="G78" s="29"/>
      <c r="H78" s="21"/>
      <c r="I78" s="20"/>
      <c r="J78" s="20"/>
      <c r="K78" s="20"/>
      <c r="L78" s="22"/>
      <c r="M78" s="22"/>
      <c r="N78" s="22"/>
      <c r="O78" s="20"/>
      <c r="P78" s="22"/>
      <c r="Q78" s="30"/>
      <c r="R78" s="30"/>
      <c r="S78" s="31"/>
    </row>
    <row r="79" spans="5:19" ht="15.75" customHeight="1">
      <c r="E79" s="20"/>
      <c r="F79" s="20"/>
      <c r="G79" s="29"/>
      <c r="H79" s="21"/>
      <c r="I79" s="20"/>
      <c r="J79" s="20"/>
      <c r="K79" s="20"/>
      <c r="L79" s="22"/>
      <c r="M79" s="22"/>
      <c r="N79" s="22"/>
      <c r="O79" s="20"/>
      <c r="P79" s="22"/>
      <c r="Q79" s="30"/>
      <c r="R79" s="30"/>
      <c r="S79" s="31"/>
    </row>
    <row r="80" spans="5:19" ht="15.75" customHeight="1">
      <c r="E80" s="20"/>
      <c r="F80" s="20"/>
      <c r="G80" s="29"/>
      <c r="H80" s="21"/>
      <c r="I80" s="20"/>
      <c r="J80" s="20"/>
      <c r="K80" s="20"/>
      <c r="L80" s="22"/>
      <c r="M80" s="22"/>
      <c r="N80" s="22"/>
      <c r="O80" s="20"/>
      <c r="P80" s="22"/>
      <c r="Q80" s="30"/>
      <c r="R80" s="30"/>
      <c r="S80" s="31"/>
    </row>
    <row r="81" spans="5:19" ht="15.75" customHeight="1">
      <c r="E81" s="20"/>
      <c r="F81" s="20"/>
      <c r="G81" s="29"/>
      <c r="H81" s="21"/>
      <c r="I81" s="20"/>
      <c r="J81" s="20"/>
      <c r="K81" s="20"/>
      <c r="L81" s="22"/>
      <c r="M81" s="22"/>
      <c r="N81" s="22"/>
      <c r="O81" s="20"/>
      <c r="P81" s="22"/>
      <c r="Q81" s="30"/>
      <c r="R81" s="30"/>
      <c r="S81" s="31"/>
    </row>
    <row r="82" spans="5:19" ht="15.75" customHeight="1">
      <c r="E82" s="18"/>
      <c r="F82" s="18"/>
      <c r="G82" s="18"/>
      <c r="H82" s="2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5:19" ht="15.75" customHeight="1">
      <c r="E83" s="18"/>
      <c r="F83" s="18"/>
      <c r="G83" s="18"/>
      <c r="H83" s="2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5:19" ht="15.75" customHeight="1">
      <c r="E84" s="18"/>
      <c r="F84" s="18"/>
      <c r="G84" s="18"/>
      <c r="H84" s="2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5:19" ht="15.75" customHeight="1"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5:19" ht="15.75" customHeight="1">
      <c r="E86" s="18"/>
      <c r="F86" s="18"/>
      <c r="G86" s="18"/>
      <c r="H86" s="2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5:19" ht="15.75" customHeight="1">
      <c r="E87" s="18"/>
      <c r="F87" s="18"/>
      <c r="G87" s="18"/>
      <c r="H87" s="2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5:19" ht="15.75" customHeight="1">
      <c r="E88" s="18"/>
      <c r="F88" s="18"/>
      <c r="G88" s="18"/>
      <c r="H88" s="2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5:19" ht="15.75" customHeight="1">
      <c r="E89" s="18"/>
      <c r="F89" s="18"/>
      <c r="G89" s="18"/>
      <c r="H89" s="2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5:19" ht="15.75" customHeight="1">
      <c r="E90" s="18"/>
      <c r="F90" s="18"/>
      <c r="G90" s="18"/>
      <c r="H90" s="2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5:19" ht="15.75" customHeight="1">
      <c r="E91" s="18"/>
      <c r="F91" s="18"/>
      <c r="G91" s="18"/>
      <c r="H91" s="2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5:19" ht="15.75" customHeight="1">
      <c r="E92" s="18"/>
      <c r="F92" s="18"/>
      <c r="G92" s="18"/>
      <c r="H92" s="2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5:19" ht="15.75" customHeight="1">
      <c r="E93" s="18"/>
      <c r="F93" s="18"/>
      <c r="G93" s="18"/>
      <c r="H93" s="2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5:19" ht="15.75" customHeight="1">
      <c r="E94" s="18"/>
      <c r="F94" s="18"/>
      <c r="G94" s="18"/>
      <c r="H94" s="2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5:19" ht="15.75" customHeight="1">
      <c r="E95" s="18"/>
      <c r="F95" s="18"/>
      <c r="G95" s="18"/>
      <c r="H95" s="2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5:19" ht="15.75" customHeight="1">
      <c r="E96" s="18"/>
      <c r="F96" s="18"/>
      <c r="G96" s="18"/>
      <c r="H96" s="2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5:19" ht="15.75" customHeight="1">
      <c r="E97" s="18"/>
      <c r="F97" s="18"/>
      <c r="G97" s="18"/>
      <c r="H97" s="2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5:19" ht="15.75" customHeight="1">
      <c r="E98" s="18"/>
      <c r="F98" s="18"/>
      <c r="G98" s="18"/>
      <c r="H98" s="2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5:19" ht="15.75" customHeight="1"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5:19" ht="15.75" customHeight="1">
      <c r="E100" s="18"/>
      <c r="F100" s="18"/>
      <c r="G100" s="18"/>
      <c r="H100" s="2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5:19" ht="15.75" customHeight="1">
      <c r="E101" s="18"/>
      <c r="F101" s="18"/>
      <c r="G101" s="18"/>
      <c r="H101" s="2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5:19" ht="15.75" customHeight="1">
      <c r="E102" s="18"/>
      <c r="F102" s="18"/>
      <c r="G102" s="18"/>
      <c r="H102" s="2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5:19" ht="15.75" customHeight="1">
      <c r="E103" s="18"/>
      <c r="F103" s="18"/>
      <c r="G103" s="18"/>
      <c r="H103" s="2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5:19" ht="15.75" customHeight="1">
      <c r="E104" s="18"/>
      <c r="F104" s="18"/>
      <c r="G104" s="18"/>
      <c r="H104" s="2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5:19" ht="15.75" customHeight="1">
      <c r="E105" s="18"/>
      <c r="F105" s="18"/>
      <c r="G105" s="18"/>
      <c r="H105" s="2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5:19" ht="15.75" customHeight="1">
      <c r="E106" s="18"/>
      <c r="F106" s="18"/>
      <c r="G106" s="18"/>
      <c r="H106" s="2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5:19" ht="15.75" customHeight="1">
      <c r="E107" s="18"/>
      <c r="F107" s="18"/>
      <c r="G107" s="18"/>
      <c r="H107" s="2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5:19" ht="15.75" customHeight="1">
      <c r="E108" s="18"/>
      <c r="F108" s="18"/>
      <c r="G108" s="18"/>
      <c r="H108" s="2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5:19" ht="15.75" customHeight="1">
      <c r="E109" s="18"/>
      <c r="F109" s="18"/>
      <c r="G109" s="18"/>
      <c r="H109" s="2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5:19" ht="15.75" customHeight="1"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5:19" ht="15.75" customHeight="1">
      <c r="E111" s="18"/>
      <c r="F111" s="18"/>
      <c r="G111" s="18"/>
      <c r="H111" s="2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5:19" ht="15.75" customHeight="1">
      <c r="E112" s="18"/>
      <c r="F112" s="18"/>
      <c r="G112" s="18"/>
      <c r="H112" s="2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5:19" ht="15.75" customHeight="1">
      <c r="E113" s="18"/>
      <c r="F113" s="18"/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5:19" ht="15.75" customHeight="1">
      <c r="E114" s="18"/>
      <c r="F114" s="18"/>
      <c r="G114" s="18"/>
      <c r="H114" s="2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5:19" ht="15.75" customHeight="1">
      <c r="E115" s="18"/>
      <c r="F115" s="18"/>
      <c r="G115" s="18"/>
      <c r="H115" s="2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5:19" ht="15.75" customHeight="1">
      <c r="E116" s="18"/>
      <c r="F116" s="18"/>
      <c r="G116" s="18"/>
      <c r="H116" s="2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5:19" ht="15.75" customHeight="1">
      <c r="E117" s="18"/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5:19" ht="15.75" customHeight="1">
      <c r="E118" s="18"/>
      <c r="F118" s="18"/>
      <c r="G118" s="18"/>
      <c r="H118" s="2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5:19" ht="15.75" customHeight="1">
      <c r="E119" s="18"/>
      <c r="F119" s="18"/>
      <c r="G119" s="18"/>
      <c r="H119" s="2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5:19" ht="15.75" customHeight="1"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5:19" ht="15.75" customHeight="1">
      <c r="E121" s="18"/>
      <c r="F121" s="18"/>
      <c r="G121" s="18"/>
      <c r="H121" s="2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5:19" ht="15.75" customHeight="1">
      <c r="E122" s="18"/>
      <c r="F122" s="18"/>
      <c r="G122" s="18"/>
      <c r="H122" s="2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5:19" ht="15.75" customHeight="1">
      <c r="E123" s="18"/>
      <c r="F123" s="18"/>
      <c r="G123" s="18"/>
      <c r="H123" s="2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E126" s="18"/>
      <c r="F126" s="18"/>
      <c r="G126" s="18"/>
      <c r="H126" s="2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/>
      <c r="H127" s="2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/>
      <c r="H128" s="2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5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5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5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5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5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5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5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5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5:19" ht="15.75" customHeight="1">
      <c r="E137" s="18"/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5:19" ht="15.75" customHeight="1">
      <c r="E138" s="18"/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5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5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5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5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5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5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1" t="s">
        <v>167</v>
      </c>
      <c r="B600" s="52"/>
      <c r="C600" s="52"/>
      <c r="D600" s="53"/>
      <c r="E600" s="7"/>
      <c r="F600" s="51" t="str">
        <f>A600</f>
        <v>PPB31405_deglyc_2K_2pQ_2GSH_1Cys_8Ox</v>
      </c>
      <c r="G600" s="53"/>
      <c r="H600" s="7"/>
      <c r="I600" s="13" t="s">
        <v>168</v>
      </c>
      <c r="J600" s="3">
        <f>SUM(H2:H592)</f>
        <v>2808775815.46875</v>
      </c>
    </row>
    <row r="601" spans="1:19">
      <c r="A601" s="54" t="s">
        <v>2</v>
      </c>
      <c r="B601" s="52"/>
      <c r="C601" s="52"/>
      <c r="D601" s="53"/>
      <c r="E601" s="7"/>
      <c r="F601" s="6" t="s">
        <v>169</v>
      </c>
      <c r="G601" s="8" t="s">
        <v>169</v>
      </c>
      <c r="H601" s="24"/>
      <c r="I601" s="14" t="s">
        <v>170</v>
      </c>
      <c r="J601" s="4">
        <f>100-(SUMIF(C2:C592,"",H2:H592)/J600*100)</f>
        <v>93.452976529966108</v>
      </c>
    </row>
    <row r="602" spans="1:19">
      <c r="A602" s="27">
        <v>0</v>
      </c>
      <c r="B602" s="27">
        <v>1</v>
      </c>
      <c r="C602" s="27">
        <v>2</v>
      </c>
      <c r="D602" s="27">
        <v>3</v>
      </c>
      <c r="E602" s="24"/>
      <c r="F602" s="11" t="e">
        <f>(A603*A602+B603*B602+C603*C602+D603*D602)/(A603+B603+C603+D603)</f>
        <v>#DIV/0!</v>
      </c>
      <c r="G602" s="34">
        <f>IFERROR(F602,0)</f>
        <v>0</v>
      </c>
      <c r="H602" s="32"/>
      <c r="I602" s="13" t="s">
        <v>171</v>
      </c>
      <c r="J602" s="5" t="e">
        <f>#REF!</f>
        <v>#REF!</v>
      </c>
    </row>
    <row r="603" spans="1:19">
      <c r="A603" s="2">
        <f>SUMIFS($H$2:$H$592,$A$2:$A$592,$A600,$B$2:$B$592,A602, $I$2:$I$592,"&gt;="&amp;$J$602,$G$2:$G$592,"&lt;="&amp;$J$603)</f>
        <v>0</v>
      </c>
      <c r="B603" s="2">
        <f>SUMIFS($H$2:$H$592,$A$2:$A$592,$A600,$B$2:$B$592,B602, $I$2:$I$592,"&gt;="&amp;$J$602,$G$2:$G$592,"&lt;="&amp;$J$603)</f>
        <v>0</v>
      </c>
      <c r="C603" s="2">
        <f>SUMIFS($H$2:$H$592,$A$2:$A$592,$A600,$B$2:$B$592,C602, $I$2:$I$592,"&gt;="&amp;$J$602,$G$2:$G$592,"&lt;="&amp;$J$603)</f>
        <v>0</v>
      </c>
      <c r="D603" s="2">
        <f>SUMIFS($H$2:$H$592,$A$2:$A$592,$A600,$B$2:$B$592,D602, $I$2:$I$592,"&gt;="&amp;$J$602,$G$2:$G$592,"&lt;="&amp;$J$603)</f>
        <v>0</v>
      </c>
      <c r="E603" s="9"/>
      <c r="F603" s="1">
        <f>SUM(A603:D603)</f>
        <v>0</v>
      </c>
      <c r="G603" s="1">
        <f>F603</f>
        <v>0</v>
      </c>
      <c r="H603" s="9"/>
      <c r="I603" s="13" t="s">
        <v>172</v>
      </c>
      <c r="J603" s="5" t="e">
        <f>#REF!</f>
        <v>#REF!</v>
      </c>
    </row>
    <row r="604" spans="1:19">
      <c r="C604" s="25"/>
      <c r="D604" s="25"/>
      <c r="I604" s="13" t="s">
        <v>173</v>
      </c>
      <c r="J604" s="3">
        <f>SUMIFS(H2:H592,I2:I592,"&gt;"&amp;J602,G2:G592,"&lt;"&amp;J603)</f>
        <v>0</v>
      </c>
    </row>
    <row r="605" spans="1:19">
      <c r="A605" s="51" t="s">
        <v>174</v>
      </c>
      <c r="B605" s="52"/>
      <c r="C605" s="52"/>
      <c r="D605" s="53"/>
      <c r="E605" s="7"/>
      <c r="F605" s="51" t="str">
        <f>A605</f>
        <v>PPB31405_deglyc_2K_2pQ_2GSH_1Cys_5Ox</v>
      </c>
      <c r="G605" s="53"/>
      <c r="H605" s="7"/>
      <c r="I605" s="14" t="s">
        <v>175</v>
      </c>
      <c r="J605" s="4" t="e">
        <f>$G$651/$J$604*100</f>
        <v>#DIV/0!</v>
      </c>
    </row>
    <row r="606" spans="1:19">
      <c r="A606" s="54" t="s">
        <v>2</v>
      </c>
      <c r="B606" s="52"/>
      <c r="C606" s="52"/>
      <c r="D606" s="53"/>
      <c r="E606" s="7"/>
      <c r="F606" s="6" t="s">
        <v>169</v>
      </c>
      <c r="G606" s="6" t="str">
        <f>F606</f>
        <v>Mean DAR w/ cut-off</v>
      </c>
      <c r="H606" s="24"/>
    </row>
    <row r="607" spans="1:19">
      <c r="A607" s="27">
        <v>0</v>
      </c>
      <c r="B607" s="27">
        <v>1</v>
      </c>
      <c r="C607" s="27">
        <v>2</v>
      </c>
      <c r="D607" s="27">
        <v>3</v>
      </c>
      <c r="E607" s="24"/>
      <c r="F607" s="12" t="e">
        <f>(A608*A607+B608*B607+C608*C607+D608*D607)/(A608+B608+C608+D608)</f>
        <v>#DIV/0!</v>
      </c>
      <c r="G607" s="34">
        <f>IFERROR(F607,0)</f>
        <v>0</v>
      </c>
      <c r="H607" s="32"/>
      <c r="I607" s="28" t="s">
        <v>169</v>
      </c>
      <c r="J607" s="35" t="e">
        <f>(G602*G603+G607*G608+G612*G613+G617*G618+G622*G623+G627*G628+G632*G633+G637*G638+G642*G643+G647*G648)/$G$651</f>
        <v>#DIV/0!</v>
      </c>
    </row>
    <row r="608" spans="1:19">
      <c r="A608" s="2">
        <f>SUMIFS($H$2:$H$592,$A$2:$A$592,$A605,$B$2:$B$592,A607, $I$2:$I$592,"&gt;="&amp;$J$602,$G$2:$G$592,"&lt;="&amp;$J$603)</f>
        <v>0</v>
      </c>
      <c r="B608" s="2">
        <f>SUMIFS($H$2:$H$592,$A$2:$A$592,$A605,$B$2:$B$592,B607, $I$2:$I$592,"&gt;="&amp;$J$602,$G$2:$G$592,"&lt;="&amp;$J$603)</f>
        <v>0</v>
      </c>
      <c r="C608" s="2">
        <f>SUMIFS($H$2:$H$592,$A$2:$A$592,$A605,$B$2:$B$592,C607, $I$2:$I$592,"&gt;="&amp;$J$602,$G$2:$G$592,"&lt;="&amp;$J$603)</f>
        <v>0</v>
      </c>
      <c r="D608" s="2">
        <f>SUMIFS($H$2:$H$592,$A$2:$A$592,$A605,$B$2:$B$592,D607, $I$2:$I$592,"&gt;="&amp;$J$602,$G$2:$G$592,"&lt;="&amp;$J$603)</f>
        <v>0</v>
      </c>
      <c r="E608" s="9"/>
      <c r="F608" s="1">
        <f>SUM(A608:D608)</f>
        <v>0</v>
      </c>
      <c r="G608" s="1">
        <f>F608</f>
        <v>0</v>
      </c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1" t="s">
        <v>176</v>
      </c>
      <c r="B610" s="52"/>
      <c r="C610" s="52"/>
      <c r="D610" s="53"/>
      <c r="E610" s="7"/>
      <c r="F610" s="51" t="str">
        <f>A610</f>
        <v>PPB31405_deglyc_2K_2pQ_2GSH_5Ox</v>
      </c>
      <c r="G610" s="53"/>
      <c r="H610" s="7"/>
    </row>
    <row r="611" spans="1:10">
      <c r="A611" s="54" t="s">
        <v>2</v>
      </c>
      <c r="B611" s="52"/>
      <c r="C611" s="52"/>
      <c r="D611" s="53"/>
      <c r="E611" s="7"/>
      <c r="F611" s="6" t="s">
        <v>169</v>
      </c>
      <c r="G611" s="6" t="str">
        <f>F611</f>
        <v>Mean DAR w/ cut-off</v>
      </c>
      <c r="H611" s="24"/>
      <c r="I611" s="48"/>
      <c r="J611" s="49"/>
    </row>
    <row r="612" spans="1:10">
      <c r="A612" s="27">
        <v>0</v>
      </c>
      <c r="B612" s="27">
        <v>1</v>
      </c>
      <c r="C612" s="27">
        <v>2</v>
      </c>
      <c r="D612" s="27">
        <v>3</v>
      </c>
      <c r="E612" s="24"/>
      <c r="F612" s="12" t="e">
        <f>(A613*A612+B613*B612+C613*C612+D613*D612)/(A613+B613+C613+D613)</f>
        <v>#DIV/0!</v>
      </c>
      <c r="G612" s="34">
        <f>IFERROR(F612,0)</f>
        <v>0</v>
      </c>
      <c r="H612" s="32"/>
      <c r="I612" s="24"/>
      <c r="J612" s="33"/>
    </row>
    <row r="613" spans="1:10">
      <c r="A613" s="2">
        <f>SUMIFS($H$2:$H$592,$A$2:$A$592,$A610,$B$2:$B$592,A612, $I$2:$I$592,"&gt;="&amp;$J$602,$G$2:$G$592,"&lt;="&amp;$J$603)</f>
        <v>0</v>
      </c>
      <c r="B613" s="2">
        <f>SUMIFS($H$2:$H$592,$A$2:$A$592,$A610,$B$2:$B$592,B612, $I$2:$I$592,"&gt;="&amp;$J$602,$G$2:$G$592,"&lt;="&amp;$J$603)</f>
        <v>0</v>
      </c>
      <c r="C613" s="2">
        <f>SUMIFS($H$2:$H$592,$A$2:$A$592,$A610,$B$2:$B$592,C612, $I$2:$I$592,"&gt;="&amp;$J$602,$G$2:$G$592,"&lt;="&amp;$J$603)</f>
        <v>0</v>
      </c>
      <c r="D613" s="2">
        <f>SUMIFS($H$2:$H$592,$A$2:$A$592,$A610,$B$2:$B$592,D612, $I$2:$I$592,"&gt;="&amp;$J$602,$G$2:$G$592,"&lt;="&amp;$J$603)</f>
        <v>0</v>
      </c>
      <c r="E613" s="9"/>
      <c r="F613" s="1">
        <f>SUM(A613:D613)</f>
        <v>0</v>
      </c>
      <c r="G613" s="1">
        <f>F613</f>
        <v>0</v>
      </c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1" t="s">
        <v>177</v>
      </c>
      <c r="B615" s="52"/>
      <c r="C615" s="52"/>
      <c r="D615" s="53"/>
      <c r="E615" s="7"/>
      <c r="F615" s="51" t="str">
        <f>A615</f>
        <v>PPB31405_deglyc_2K_2pQ_1GSH_2Ox</v>
      </c>
      <c r="G615" s="53"/>
      <c r="H615" s="7"/>
    </row>
    <row r="616" spans="1:10">
      <c r="A616" s="54" t="s">
        <v>2</v>
      </c>
      <c r="B616" s="52"/>
      <c r="C616" s="52"/>
      <c r="D616" s="53"/>
      <c r="E616" s="7"/>
      <c r="F616" s="6" t="s">
        <v>169</v>
      </c>
      <c r="G616" s="6" t="str">
        <f>F616</f>
        <v>Mean DAR w/ cut-off</v>
      </c>
      <c r="H616" s="24"/>
      <c r="I616" s="48"/>
      <c r="J616" s="49"/>
    </row>
    <row r="617" spans="1:10">
      <c r="A617" s="27">
        <v>0</v>
      </c>
      <c r="B617" s="27">
        <v>1</v>
      </c>
      <c r="C617" s="27">
        <v>2</v>
      </c>
      <c r="D617" s="27">
        <v>3</v>
      </c>
      <c r="E617" s="24"/>
      <c r="F617" s="12" t="e">
        <f>(A618*A617+B618*B617+C618*C617+D618*D617)/(A618+B618+C618+D618)</f>
        <v>#DIV/0!</v>
      </c>
      <c r="G617" s="34">
        <f>IFERROR(F617,0)</f>
        <v>0</v>
      </c>
      <c r="H617" s="32"/>
      <c r="I617" s="24"/>
      <c r="J617" s="33"/>
    </row>
    <row r="618" spans="1:10">
      <c r="A618" s="2">
        <f>SUMIFS($H$2:$H$592,$A$2:$A$592,$A615,$B$2:$B$592,A617, $I$2:$I$592,"&gt;="&amp;$J$602,$G$2:$G$592,"&lt;="&amp;$J$603)</f>
        <v>0</v>
      </c>
      <c r="B618" s="2">
        <f>SUMIFS($H$2:$H$592,$A$2:$A$592,$A615,$B$2:$B$592,B617, $I$2:$I$592,"&gt;="&amp;$J$602,$G$2:$G$592,"&lt;="&amp;$J$603)</f>
        <v>0</v>
      </c>
      <c r="C618" s="2">
        <f>SUMIFS($H$2:$H$592,$A$2:$A$592,$A615,$B$2:$B$592,C617, $I$2:$I$592,"&gt;="&amp;$J$602,$G$2:$G$592,"&lt;="&amp;$J$603)</f>
        <v>0</v>
      </c>
      <c r="D618" s="2">
        <f>SUMIFS($H$2:$H$592,$A$2:$A$592,$A615,$B$2:$B$592,D617, $I$2:$I$592,"&gt;="&amp;$J$602,$G$2:$G$592,"&lt;="&amp;$J$603)</f>
        <v>0</v>
      </c>
      <c r="E618" s="9"/>
      <c r="F618" s="1">
        <f>SUM(A618:D618)</f>
        <v>0</v>
      </c>
      <c r="G618" s="1">
        <f>F618</f>
        <v>0</v>
      </c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1" t="s">
        <v>178</v>
      </c>
      <c r="B620" s="52"/>
      <c r="C620" s="52"/>
      <c r="D620" s="53"/>
      <c r="E620" s="7"/>
      <c r="F620" s="51" t="str">
        <f>A620</f>
        <v>PPB31405_deglyc_2GK_2pQ</v>
      </c>
      <c r="G620" s="53"/>
      <c r="H620" s="7"/>
    </row>
    <row r="621" spans="1:10">
      <c r="A621" s="54" t="s">
        <v>2</v>
      </c>
      <c r="B621" s="52"/>
      <c r="C621" s="52"/>
      <c r="D621" s="53"/>
      <c r="E621" s="7"/>
      <c r="F621" s="6" t="s">
        <v>169</v>
      </c>
      <c r="G621" s="6" t="str">
        <f>F621</f>
        <v>Mean DAR w/ cut-off</v>
      </c>
      <c r="H621" s="24"/>
      <c r="I621" s="48"/>
      <c r="J621" s="49"/>
    </row>
    <row r="622" spans="1:10">
      <c r="A622" s="27">
        <v>0</v>
      </c>
      <c r="B622" s="27">
        <v>1</v>
      </c>
      <c r="C622" s="27">
        <v>2</v>
      </c>
      <c r="D622" s="27">
        <v>3</v>
      </c>
      <c r="E622" s="24"/>
      <c r="F622" s="12" t="e">
        <f>(A623*A622+B623*B622+C623*C622+D623*D622)/(A623+B623+C623+D623)</f>
        <v>#DIV/0!</v>
      </c>
      <c r="G622" s="34">
        <f>IFERROR(F622,0)</f>
        <v>0</v>
      </c>
      <c r="H622" s="32"/>
      <c r="I622" s="24"/>
      <c r="J622" s="33"/>
    </row>
    <row r="623" spans="1:10">
      <c r="A623" s="2">
        <f>SUMIFS($H$2:$H$592,$A$2:$A$592,$A620,$B$2:$B$592,A622, $I$2:$I$592,"&gt;="&amp;$J$602,$G$2:$G$592,"&lt;="&amp;$J$603)</f>
        <v>0</v>
      </c>
      <c r="B623" s="2">
        <f>SUMIFS($H$2:$H$592,$A$2:$A$592,$A620,$B$2:$B$592,B622, $I$2:$I$592,"&gt;="&amp;$J$602,$G$2:$G$592,"&lt;="&amp;$J$603)</f>
        <v>0</v>
      </c>
      <c r="C623" s="2">
        <f>SUMIFS($H$2:$H$592,$A$2:$A$592,$A620,$B$2:$B$592,C622, $I$2:$I$592,"&gt;="&amp;$J$602,$G$2:$G$592,"&lt;="&amp;$J$603)</f>
        <v>0</v>
      </c>
      <c r="D623" s="2">
        <f>SUMIFS($H$2:$H$592,$A$2:$A$592,$A620,$B$2:$B$592,D622, $I$2:$I$592,"&gt;="&amp;$J$602,$G$2:$G$592,"&lt;="&amp;$J$603)</f>
        <v>0</v>
      </c>
      <c r="E623" s="9"/>
      <c r="F623" s="1">
        <f>SUM(A623:D623)</f>
        <v>0</v>
      </c>
      <c r="G623" s="1">
        <f>F623</f>
        <v>0</v>
      </c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1" t="s">
        <v>179</v>
      </c>
      <c r="B625" s="52"/>
      <c r="C625" s="52"/>
      <c r="D625" s="53"/>
      <c r="E625" s="7"/>
      <c r="F625" s="51" t="str">
        <f>A625</f>
        <v>PPB31405_deglyc_1K1GK_2pQ</v>
      </c>
      <c r="G625" s="53"/>
      <c r="H625" s="7"/>
    </row>
    <row r="626" spans="1:10">
      <c r="A626" s="54" t="s">
        <v>2</v>
      </c>
      <c r="B626" s="52"/>
      <c r="C626" s="52"/>
      <c r="D626" s="53"/>
      <c r="E626" s="7"/>
      <c r="F626" s="6" t="s">
        <v>169</v>
      </c>
      <c r="G626" s="6" t="str">
        <f>F626</f>
        <v>Mean DAR w/ cut-off</v>
      </c>
      <c r="H626" s="24"/>
      <c r="I626" s="48"/>
      <c r="J626" s="49"/>
    </row>
    <row r="627" spans="1:10">
      <c r="A627" s="27">
        <v>0</v>
      </c>
      <c r="B627" s="27">
        <v>1</v>
      </c>
      <c r="C627" s="27">
        <v>2</v>
      </c>
      <c r="D627" s="27">
        <v>3</v>
      </c>
      <c r="E627" s="24"/>
      <c r="F627" s="12" t="e">
        <f>(A628*A627+B628*B627+C628*C627+D628*D627)/(A628+B628+C628+D628)</f>
        <v>#DIV/0!</v>
      </c>
      <c r="G627" s="34">
        <f>IFERROR(F627,0)</f>
        <v>0</v>
      </c>
      <c r="H627" s="32"/>
      <c r="I627" s="24"/>
      <c r="J627" s="33"/>
    </row>
    <row r="628" spans="1:10">
      <c r="A628" s="2">
        <f>SUMIFS($H$2:$H$592,$A$2:$A$592,$A625,$B$2:$B$592,A627, $I$2:$I$592,"&gt;="&amp;$J$602,$G$2:$G$592,"&lt;="&amp;$J$603)</f>
        <v>0</v>
      </c>
      <c r="B628" s="2">
        <f>SUMIFS($H$2:$H$592,$A$2:$A$592,$A625,$B$2:$B$592,B627, $I$2:$I$592,"&gt;="&amp;$J$602,$G$2:$G$592,"&lt;="&amp;$J$603)</f>
        <v>0</v>
      </c>
      <c r="C628" s="2">
        <f>SUMIFS($H$2:$H$592,$A$2:$A$592,$A625,$B$2:$B$592,C627, $I$2:$I$592,"&gt;="&amp;$J$602,$G$2:$G$592,"&lt;="&amp;$J$603)</f>
        <v>0</v>
      </c>
      <c r="D628" s="2">
        <f>SUMIFS($H$2:$H$592,$A$2:$A$592,$A625,$B$2:$B$592,D627, $I$2:$I$592,"&gt;="&amp;$J$602,$G$2:$G$592,"&lt;="&amp;$J$603)</f>
        <v>0</v>
      </c>
      <c r="E628" s="9"/>
      <c r="F628" s="1">
        <f>SUM(A628:D628)</f>
        <v>0</v>
      </c>
      <c r="G628" s="1">
        <f>F628</f>
        <v>0</v>
      </c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1" t="s">
        <v>180</v>
      </c>
      <c r="B630" s="52"/>
      <c r="C630" s="52"/>
      <c r="D630" s="53"/>
      <c r="E630" s="7"/>
      <c r="F630" s="51" t="str">
        <f>A630</f>
        <v>PPB31405_deglyc_1GK</v>
      </c>
      <c r="G630" s="53"/>
      <c r="H630" s="7"/>
    </row>
    <row r="631" spans="1:10">
      <c r="A631" s="54" t="s">
        <v>2</v>
      </c>
      <c r="B631" s="52"/>
      <c r="C631" s="52"/>
      <c r="D631" s="53"/>
      <c r="E631" s="7"/>
      <c r="F631" s="6" t="s">
        <v>169</v>
      </c>
      <c r="G631" s="6" t="str">
        <f>F631</f>
        <v>Mean DAR w/ cut-off</v>
      </c>
      <c r="H631" s="24"/>
      <c r="I631" s="48"/>
      <c r="J631" s="49"/>
    </row>
    <row r="632" spans="1:10">
      <c r="A632" s="27">
        <v>0</v>
      </c>
      <c r="B632" s="27">
        <v>1</v>
      </c>
      <c r="C632" s="27">
        <v>2</v>
      </c>
      <c r="D632" s="27">
        <v>3</v>
      </c>
      <c r="E632" s="24"/>
      <c r="F632" s="12" t="e">
        <f>(A633*A632+B633*B632+C633*C632+D633*D632)/(A633+B633+C633+D633)</f>
        <v>#DIV/0!</v>
      </c>
      <c r="G632" s="34">
        <f>IFERROR(F632,0)</f>
        <v>0</v>
      </c>
      <c r="H632" s="32"/>
      <c r="I632" s="24"/>
      <c r="J632" s="33"/>
    </row>
    <row r="633" spans="1:10">
      <c r="A633" s="2">
        <f>SUMIFS($H$2:$H$592,$A$2:$A$592,$A630,$B$2:$B$592,A632, $I$2:$I$592,"&gt;="&amp;$J$602,$G$2:$G$592,"&lt;="&amp;$J$603)</f>
        <v>0</v>
      </c>
      <c r="B633" s="2">
        <f>SUMIFS($H$2:$H$592,$A$2:$A$592,$A630,$B$2:$B$592,B632, $I$2:$I$592,"&gt;="&amp;$J$602,$G$2:$G$592,"&lt;="&amp;$J$603)</f>
        <v>0</v>
      </c>
      <c r="C633" s="2">
        <f>SUMIFS($H$2:$H$592,$A$2:$A$592,$A630,$B$2:$B$592,C632, $I$2:$I$592,"&gt;="&amp;$J$602,$G$2:$G$592,"&lt;="&amp;$J$603)</f>
        <v>0</v>
      </c>
      <c r="D633" s="2">
        <f>SUMIFS($H$2:$H$592,$A$2:$A$592,$A630,$B$2:$B$592,D632, $I$2:$I$592,"&gt;="&amp;$J$602,$G$2:$G$592,"&lt;="&amp;$J$603)</f>
        <v>0</v>
      </c>
      <c r="E633" s="9"/>
      <c r="F633" s="1">
        <f>SUM(A633:D633)</f>
        <v>0</v>
      </c>
      <c r="G633" s="1">
        <f>F633</f>
        <v>0</v>
      </c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1" t="s">
        <v>181</v>
      </c>
      <c r="B635" s="52"/>
      <c r="C635" s="52"/>
      <c r="D635" s="53"/>
      <c r="E635" s="7"/>
      <c r="F635" s="51" t="str">
        <f>A635</f>
        <v>PPB31405_deglyc_1K_2pQ</v>
      </c>
      <c r="G635" s="53"/>
      <c r="H635" s="7"/>
    </row>
    <row r="636" spans="1:10">
      <c r="A636" s="54" t="s">
        <v>2</v>
      </c>
      <c r="B636" s="52"/>
      <c r="C636" s="52"/>
      <c r="D636" s="53"/>
      <c r="E636" s="7"/>
      <c r="F636" s="6" t="s">
        <v>169</v>
      </c>
      <c r="G636" s="6" t="str">
        <f>F636</f>
        <v>Mean DAR w/ cut-off</v>
      </c>
      <c r="H636" s="24"/>
      <c r="I636" s="48"/>
      <c r="J636" s="49"/>
    </row>
    <row r="637" spans="1:10">
      <c r="A637" s="27">
        <v>0</v>
      </c>
      <c r="B637" s="27">
        <v>1</v>
      </c>
      <c r="C637" s="27">
        <v>2</v>
      </c>
      <c r="D637" s="27">
        <v>3</v>
      </c>
      <c r="E637" s="24"/>
      <c r="F637" s="12" t="e">
        <f>(A638*A637+B638*B637+C638*C637+D638*D637)/(A638+B638+C638+D638)</f>
        <v>#DIV/0!</v>
      </c>
      <c r="G637" s="34">
        <f>IFERROR(F637,0)</f>
        <v>0</v>
      </c>
      <c r="H637" s="32"/>
      <c r="I637" s="24"/>
      <c r="J637" s="33"/>
    </row>
    <row r="638" spans="1:10">
      <c r="A638" s="2">
        <f>SUMIFS($H$2:$H$592,$A$2:$A$592,$A635,$B$2:$B$592,A637, $I$2:$I$592,"&gt;="&amp;$J$602,$G$2:$G$592,"&lt;="&amp;$J$603)</f>
        <v>0</v>
      </c>
      <c r="B638" s="2">
        <f>SUMIFS($H$2:$H$592,$A$2:$A$592,$A635,$B$2:$B$592,B637, $I$2:$I$592,"&gt;="&amp;$J$602,$G$2:$G$592,"&lt;="&amp;$J$603)</f>
        <v>0</v>
      </c>
      <c r="C638" s="2">
        <f>SUMIFS($H$2:$H$592,$A$2:$A$592,$A635,$B$2:$B$592,C637, $I$2:$I$592,"&gt;="&amp;$J$602,$G$2:$G$592,"&lt;="&amp;$J$603)</f>
        <v>0</v>
      </c>
      <c r="D638" s="2">
        <f>SUMIFS($H$2:$H$592,$A$2:$A$592,$A635,$B$2:$B$592,D637, $I$2:$I$592,"&gt;="&amp;$J$602,$G$2:$G$592,"&lt;="&amp;$J$603)</f>
        <v>0</v>
      </c>
      <c r="E638" s="9"/>
      <c r="F638" s="1">
        <f>SUM(A638:D638)</f>
        <v>0</v>
      </c>
      <c r="G638" s="1">
        <f>F638</f>
        <v>0</v>
      </c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1" t="s">
        <v>182</v>
      </c>
      <c r="B640" s="52"/>
      <c r="C640" s="52"/>
      <c r="D640" s="53"/>
      <c r="E640" s="7"/>
      <c r="F640" s="51" t="str">
        <f>A640</f>
        <v>PPB31405_deglyc_2K_2pQ</v>
      </c>
      <c r="G640" s="53"/>
      <c r="H640" s="7"/>
    </row>
    <row r="641" spans="1:10">
      <c r="A641" s="54" t="s">
        <v>2</v>
      </c>
      <c r="B641" s="52"/>
      <c r="C641" s="52"/>
      <c r="D641" s="53"/>
      <c r="E641" s="7"/>
      <c r="F641" s="6" t="s">
        <v>169</v>
      </c>
      <c r="G641" s="6" t="str">
        <f>F641</f>
        <v>Mean DAR w/ cut-off</v>
      </c>
      <c r="H641" s="24"/>
      <c r="I641" s="48"/>
      <c r="J641" s="49"/>
    </row>
    <row r="642" spans="1:10">
      <c r="A642" s="27">
        <v>0</v>
      </c>
      <c r="B642" s="27">
        <v>1</v>
      </c>
      <c r="C642" s="27">
        <v>2</v>
      </c>
      <c r="D642" s="27">
        <v>3</v>
      </c>
      <c r="E642" s="24"/>
      <c r="F642" s="12" t="e">
        <f>(A643*A642+B643*B642+C643*C642+D643*D642)/(A643+B643+C643+D643)</f>
        <v>#DIV/0!</v>
      </c>
      <c r="G642" s="34">
        <f>IFERROR(F642,0)</f>
        <v>0</v>
      </c>
      <c r="H642" s="32"/>
      <c r="I642" s="24"/>
      <c r="J642" s="33"/>
    </row>
    <row r="643" spans="1:10">
      <c r="A643" s="2">
        <f>SUMIFS($H$2:$H$592,$A$2:$A$592,$A640,$B$2:$B$592,A642, $I$2:$I$592,"&gt;="&amp;$J$602,$G$2:$G$592,"&lt;="&amp;$J$603)</f>
        <v>0</v>
      </c>
      <c r="B643" s="2">
        <f>SUMIFS($H$2:$H$592,$A$2:$A$592,$A640,$B$2:$B$592,B642, $I$2:$I$592,"&gt;="&amp;$J$602,$G$2:$G$592,"&lt;="&amp;$J$603)</f>
        <v>0</v>
      </c>
      <c r="C643" s="2">
        <f>SUMIFS($H$2:$H$592,$A$2:$A$592,$A640,$B$2:$B$592,C642, $I$2:$I$592,"&gt;="&amp;$J$602,$G$2:$G$592,"&lt;="&amp;$J$603)</f>
        <v>0</v>
      </c>
      <c r="D643" s="2">
        <f>SUMIFS($H$2:$H$592,$A$2:$A$592,$A640,$B$2:$B$592,D642, $I$2:$I$592,"&gt;="&amp;$J$602,$G$2:$G$592,"&lt;="&amp;$J$603)</f>
        <v>0</v>
      </c>
      <c r="E643" s="9"/>
      <c r="F643" s="1">
        <f>SUM(A643:D643)</f>
        <v>0</v>
      </c>
      <c r="G643" s="1">
        <f>F643</f>
        <v>0</v>
      </c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1" t="s">
        <v>183</v>
      </c>
      <c r="B645" s="52"/>
      <c r="C645" s="52"/>
      <c r="D645" s="53"/>
      <c r="E645" s="7"/>
      <c r="F645" s="51" t="str">
        <f>A645</f>
        <v>PPB31405_deglyc_2pQ</v>
      </c>
      <c r="G645" s="53"/>
      <c r="H645" s="7"/>
    </row>
    <row r="646" spans="1:10">
      <c r="A646" s="54" t="s">
        <v>2</v>
      </c>
      <c r="B646" s="52"/>
      <c r="C646" s="52"/>
      <c r="D646" s="53"/>
      <c r="E646" s="7"/>
      <c r="F646" s="6" t="s">
        <v>169</v>
      </c>
      <c r="G646" s="6" t="str">
        <f>F646</f>
        <v>Mean DAR w/ cut-off</v>
      </c>
      <c r="H646" s="24"/>
      <c r="I646" s="48"/>
      <c r="J646" s="49"/>
    </row>
    <row r="647" spans="1:10">
      <c r="A647" s="27">
        <v>0</v>
      </c>
      <c r="B647" s="27">
        <v>1</v>
      </c>
      <c r="C647" s="27">
        <v>2</v>
      </c>
      <c r="D647" s="27">
        <v>3</v>
      </c>
      <c r="E647" s="24"/>
      <c r="F647" s="12" t="e">
        <f>(A648*A647+B648*B647+C648*C647+D648*D647)/(A648+B648+C648+D648)</f>
        <v>#DIV/0!</v>
      </c>
      <c r="G647" s="34">
        <f>IFERROR(F647,0)</f>
        <v>0</v>
      </c>
      <c r="H647" s="32"/>
      <c r="I647" s="24"/>
      <c r="J647" s="33"/>
    </row>
    <row r="648" spans="1:10">
      <c r="A648" s="2">
        <f>SUMIFS($H$2:$H$592,$A$2:$A$592,$A645,$B$2:$B$592,A647, $I$2:$I$592,"&gt;="&amp;$J$602,$G$2:$G$592,"&lt;="&amp;$J$603)</f>
        <v>0</v>
      </c>
      <c r="B648" s="2">
        <f>SUMIFS($H$2:$H$592,$A$2:$A$592,$A645,$B$2:$B$592,B647, $I$2:$I$592,"&gt;="&amp;$J$602,$G$2:$G$592,"&lt;="&amp;$J$603)</f>
        <v>0</v>
      </c>
      <c r="C648" s="2">
        <f>SUMIFS($H$2:$H$592,$A$2:$A$592,$A645,$B$2:$B$592,C647, $I$2:$I$592,"&gt;="&amp;$J$602,$G$2:$G$592,"&lt;="&amp;$J$603)</f>
        <v>0</v>
      </c>
      <c r="D648" s="2">
        <f>SUMIFS($H$2:$H$592,$A$2:$A$592,$A645,$B$2:$B$592,D647, $I$2:$I$592,"&gt;="&amp;$J$602,$G$2:$G$592,"&lt;="&amp;$J$603)</f>
        <v>0</v>
      </c>
      <c r="E648" s="9"/>
      <c r="F648" s="1">
        <f>SUM(A648:D648)</f>
        <v>0</v>
      </c>
      <c r="G648" s="1">
        <f>F648</f>
        <v>0</v>
      </c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1">
        <f>C603+C608+C613</f>
        <v>0</v>
      </c>
      <c r="G651" s="1">
        <f>G603+G608+G613+G618+G623+G628+G633+G638+G643+G648</f>
        <v>0</v>
      </c>
    </row>
  </sheetData>
  <autoFilter ref="A1:S471" xr:uid="{00000000-0009-0000-0000-000004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I646:J646"/>
    <mergeCell ref="F645:G645"/>
    <mergeCell ref="A620:D620"/>
    <mergeCell ref="I631:J631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outlinePr summaryBelow="0"/>
  </sheetPr>
  <dimension ref="A1:S651"/>
  <sheetViews>
    <sheetView zoomScale="85" zoomScaleNormal="85" workbookViewId="0">
      <pane ySplit="1" topLeftCell="A2" activePane="bottomLeft" state="frozen"/>
      <selection pane="bottomLeft" activeCell="A2" sqref="A2:XFD10"/>
    </sheetView>
  </sheetViews>
  <sheetFormatPr defaultColWidth="9.140625" defaultRowHeight="15"/>
  <cols>
    <col min="1" max="1" width="39.7109375" style="26" bestFit="1" customWidth="1"/>
    <col min="2" max="2" width="10.85546875" style="25" bestFit="1" customWidth="1"/>
    <col min="3" max="3" width="36.5703125" style="26" bestFit="1" customWidth="1"/>
    <col min="4" max="4" width="89.5703125" style="26" bestFit="1" customWidth="1"/>
    <col min="5" max="5" width="30.5703125" style="26" bestFit="1" customWidth="1"/>
    <col min="6" max="6" width="29.5703125" style="26" bestFit="1" customWidth="1"/>
    <col min="7" max="7" width="35.57031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55" customFormat="1" ht="15.75" customHeight="1">
      <c r="A2" s="55" t="str">
        <f t="shared" ref="A2:A28" si="0">C2</f>
        <v>Trastuzumab ADC_2K_loss_deglyc</v>
      </c>
      <c r="B2" s="56">
        <v>1</v>
      </c>
      <c r="C2" s="55" t="s">
        <v>19</v>
      </c>
      <c r="D2" s="55" t="s">
        <v>20</v>
      </c>
      <c r="E2" s="57">
        <v>147205.01945301401</v>
      </c>
      <c r="F2" s="57">
        <v>147199.42604399999</v>
      </c>
      <c r="G2" s="58">
        <f>ABS(E2-F2)/F2*1000000</f>
        <v>37.998850704416441</v>
      </c>
      <c r="H2" s="59">
        <v>685862654.5</v>
      </c>
      <c r="I2" s="57">
        <v>100</v>
      </c>
      <c r="J2" s="57">
        <v>42.061672561055502</v>
      </c>
      <c r="K2" s="57">
        <v>127.716855179126</v>
      </c>
      <c r="L2" s="60">
        <v>35</v>
      </c>
      <c r="M2" s="60" t="s">
        <v>28</v>
      </c>
      <c r="N2" s="60">
        <v>13</v>
      </c>
      <c r="O2" s="57">
        <v>0</v>
      </c>
      <c r="P2" s="60" t="s">
        <v>229</v>
      </c>
      <c r="Q2" s="61">
        <v>14.171607271199999</v>
      </c>
      <c r="R2" s="61">
        <v>16.841741571733301</v>
      </c>
      <c r="S2" s="62">
        <v>15.18</v>
      </c>
    </row>
    <row r="3" spans="1:19" s="55" customFormat="1" ht="15.75" customHeight="1">
      <c r="A3" s="55" t="str">
        <f t="shared" si="0"/>
        <v>Trastuzumab ADC_2K_loss_deglyc</v>
      </c>
      <c r="B3" s="56">
        <v>2</v>
      </c>
      <c r="C3" s="55" t="s">
        <v>19</v>
      </c>
      <c r="D3" s="55" t="s">
        <v>23</v>
      </c>
      <c r="E3" s="57">
        <v>147965.41054327899</v>
      </c>
      <c r="F3" s="57">
        <v>147961.428044</v>
      </c>
      <c r="G3" s="58">
        <v>26.915069303841701</v>
      </c>
      <c r="H3" s="59">
        <v>226180340</v>
      </c>
      <c r="I3" s="57">
        <v>32.9774980261897</v>
      </c>
      <c r="J3" s="57">
        <v>13.8708872386044</v>
      </c>
      <c r="K3" s="57">
        <v>122.053249202291</v>
      </c>
      <c r="L3" s="60">
        <v>38</v>
      </c>
      <c r="M3" s="60" t="s">
        <v>230</v>
      </c>
      <c r="N3" s="60">
        <v>13</v>
      </c>
      <c r="O3" s="57">
        <v>760.39109026579501</v>
      </c>
      <c r="P3" s="60" t="s">
        <v>229</v>
      </c>
      <c r="Q3" s="61">
        <v>14.171607271199999</v>
      </c>
      <c r="R3" s="61">
        <v>16.841741571733301</v>
      </c>
      <c r="S3" s="62">
        <v>15.34</v>
      </c>
    </row>
    <row r="4" spans="1:19" s="55" customFormat="1" ht="15.75" customHeight="1">
      <c r="A4" s="55" t="str">
        <f t="shared" si="0"/>
        <v>Trastuzumab ADC_2K_loss_deglyc_A2G0F</v>
      </c>
      <c r="B4" s="56">
        <v>1</v>
      </c>
      <c r="C4" s="55" t="s">
        <v>25</v>
      </c>
      <c r="D4" s="55" t="s">
        <v>20</v>
      </c>
      <c r="E4" s="57">
        <v>148647.96270854201</v>
      </c>
      <c r="F4" s="57">
        <v>148643.746044</v>
      </c>
      <c r="G4" s="58">
        <f>ABS(E4-F4)/F4*1000000</f>
        <v>28.367587969421326</v>
      </c>
      <c r="H4" s="59">
        <v>149483671.8125</v>
      </c>
      <c r="I4" s="57">
        <v>21.794986132032101</v>
      </c>
      <c r="J4" s="57">
        <v>9.1673357015828003</v>
      </c>
      <c r="K4" s="57">
        <v>90.535324216842895</v>
      </c>
      <c r="L4" s="60">
        <v>26</v>
      </c>
      <c r="M4" s="60" t="s">
        <v>231</v>
      </c>
      <c r="N4" s="60">
        <v>13</v>
      </c>
      <c r="O4" s="57">
        <v>1442.9432555281401</v>
      </c>
      <c r="P4" s="60" t="s">
        <v>229</v>
      </c>
      <c r="Q4" s="61">
        <v>14.171607271199999</v>
      </c>
      <c r="R4" s="61">
        <v>16.841741571733301</v>
      </c>
      <c r="S4" s="62">
        <v>15.18</v>
      </c>
    </row>
    <row r="5" spans="1:19" s="55" customFormat="1" ht="15.75" customHeight="1">
      <c r="A5" s="55" t="str">
        <f t="shared" si="0"/>
        <v>Trastuzumab ADC_2K_loss_deglyc</v>
      </c>
      <c r="B5" s="56">
        <v>0</v>
      </c>
      <c r="C5" s="55" t="s">
        <v>19</v>
      </c>
      <c r="D5" s="55" t="s">
        <v>27</v>
      </c>
      <c r="E5" s="57">
        <v>146443.27876290501</v>
      </c>
      <c r="F5" s="57">
        <v>146437.42404400001</v>
      </c>
      <c r="G5" s="58">
        <v>39.979430631216403</v>
      </c>
      <c r="H5" s="59">
        <v>147996162.375</v>
      </c>
      <c r="I5" s="57">
        <v>21.578104855444501</v>
      </c>
      <c r="J5" s="57">
        <v>9.0761118091782702</v>
      </c>
      <c r="K5" s="57">
        <v>79.761586202142695</v>
      </c>
      <c r="L5" s="60">
        <v>26</v>
      </c>
      <c r="M5" s="60" t="s">
        <v>232</v>
      </c>
      <c r="N5" s="60">
        <v>13</v>
      </c>
      <c r="O5" s="57">
        <v>-761.74069010882499</v>
      </c>
      <c r="P5" s="60" t="s">
        <v>229</v>
      </c>
      <c r="Q5" s="61">
        <v>14.171607271199999</v>
      </c>
      <c r="R5" s="61">
        <v>16.841741571733301</v>
      </c>
      <c r="S5" s="62">
        <v>15.34</v>
      </c>
    </row>
    <row r="6" spans="1:19" s="55" customFormat="1" ht="15.75" customHeight="1">
      <c r="A6" s="55" t="str">
        <f t="shared" si="0"/>
        <v>Trastuzumab ADC_2K_loss_deglyc_A2G1F</v>
      </c>
      <c r="B6" s="56">
        <v>1</v>
      </c>
      <c r="C6" s="55" t="s">
        <v>29</v>
      </c>
      <c r="D6" s="55" t="s">
        <v>20</v>
      </c>
      <c r="E6" s="57">
        <v>148810.465064513</v>
      </c>
      <c r="F6" s="57">
        <v>148806.92054399999</v>
      </c>
      <c r="G6" s="58">
        <f>ABS(E6-F6)/F6*1000000</f>
        <v>23.819594546081511</v>
      </c>
      <c r="H6" s="59">
        <v>110761708.8125</v>
      </c>
      <c r="I6" s="57">
        <v>16.149255144568102</v>
      </c>
      <c r="J6" s="57">
        <v>6.7926468199576604</v>
      </c>
      <c r="K6" s="57">
        <v>85.558163940828805</v>
      </c>
      <c r="L6" s="60">
        <v>26</v>
      </c>
      <c r="M6" s="60" t="s">
        <v>232</v>
      </c>
      <c r="N6" s="60">
        <v>11</v>
      </c>
      <c r="O6" s="57">
        <v>1605.44561149983</v>
      </c>
      <c r="P6" s="60" t="s">
        <v>233</v>
      </c>
      <c r="Q6" s="61">
        <v>14.3370747744</v>
      </c>
      <c r="R6" s="61">
        <v>16.841741571733301</v>
      </c>
      <c r="S6" s="62">
        <v>15.34</v>
      </c>
    </row>
    <row r="7" spans="1:19" s="55" customFormat="1" ht="15.75" customHeight="1">
      <c r="A7" s="55" t="str">
        <f t="shared" si="0"/>
        <v>Trastuzumab ADC_2K_loss_deglyc_A2G0F</v>
      </c>
      <c r="B7" s="56">
        <v>2</v>
      </c>
      <c r="C7" s="55" t="s">
        <v>25</v>
      </c>
      <c r="D7" s="55" t="s">
        <v>23</v>
      </c>
      <c r="E7" s="57">
        <v>149414.18695088901</v>
      </c>
      <c r="F7" s="57">
        <v>149405.77804400001</v>
      </c>
      <c r="G7" s="58">
        <f>ABS(E7-F7)/F7*1000000</f>
        <v>56.282340610187873</v>
      </c>
      <c r="H7" s="59">
        <v>46976745.625</v>
      </c>
      <c r="I7" s="57">
        <v>6.8492934762680298</v>
      </c>
      <c r="J7" s="57">
        <v>2.8809273947335901</v>
      </c>
      <c r="K7" s="57">
        <v>55.696290123352199</v>
      </c>
      <c r="L7" s="60">
        <v>18</v>
      </c>
      <c r="M7" s="60" t="s">
        <v>43</v>
      </c>
      <c r="N7" s="60">
        <v>9</v>
      </c>
      <c r="O7" s="57">
        <v>2209.16749787549</v>
      </c>
      <c r="P7" s="60" t="s">
        <v>234</v>
      </c>
      <c r="Q7" s="61">
        <v>14.5049374613333</v>
      </c>
      <c r="R7" s="61">
        <v>16.513452390400001</v>
      </c>
      <c r="S7" s="62">
        <v>15.34</v>
      </c>
    </row>
    <row r="8" spans="1:19" s="55" customFormat="1" ht="15.75" customHeight="1">
      <c r="A8" s="55" t="str">
        <f t="shared" si="0"/>
        <v>Trastuzumab ADC_2K_loss_deglyc_A2G1F</v>
      </c>
      <c r="B8" s="56">
        <v>2</v>
      </c>
      <c r="C8" s="55" t="s">
        <v>29</v>
      </c>
      <c r="D8" s="55" t="s">
        <v>23</v>
      </c>
      <c r="E8" s="57">
        <v>149569.34737841701</v>
      </c>
      <c r="F8" s="57">
        <v>149568.922544</v>
      </c>
      <c r="G8" s="58">
        <f>ABS(E8-F8)/F8*1000000</f>
        <v>2.8403923072965016</v>
      </c>
      <c r="H8" s="59">
        <v>41025054.625</v>
      </c>
      <c r="I8" s="57">
        <v>5.98152633638915</v>
      </c>
      <c r="J8" s="57">
        <v>2.5159300217652998</v>
      </c>
      <c r="K8" s="57">
        <v>55.876490244474603</v>
      </c>
      <c r="L8" s="60">
        <v>18</v>
      </c>
      <c r="M8" s="60" t="s">
        <v>235</v>
      </c>
      <c r="N8" s="60">
        <v>8</v>
      </c>
      <c r="O8" s="57">
        <v>2364.3279254028998</v>
      </c>
      <c r="P8" s="60" t="s">
        <v>236</v>
      </c>
      <c r="Q8" s="61">
        <v>14.5049374613333</v>
      </c>
      <c r="R8" s="61">
        <v>16.345999915733302</v>
      </c>
      <c r="S8" s="62">
        <v>15.18</v>
      </c>
    </row>
    <row r="9" spans="1:19" s="55" customFormat="1" ht="15.75" customHeight="1">
      <c r="A9" s="55" t="str">
        <f t="shared" si="0"/>
        <v>Trastuzumab ADC_2K_loss_deglyc</v>
      </c>
      <c r="B9" s="56">
        <v>0</v>
      </c>
      <c r="C9" s="55" t="s">
        <v>19</v>
      </c>
      <c r="D9" s="55" t="s">
        <v>190</v>
      </c>
      <c r="E9" s="57">
        <v>147355.89557263901</v>
      </c>
      <c r="F9" s="57">
        <v>147356.59204399999</v>
      </c>
      <c r="G9" s="58">
        <v>4.7264573868368398</v>
      </c>
      <c r="H9" s="59">
        <v>40895177.5</v>
      </c>
      <c r="I9" s="57">
        <v>5.9625898808662496</v>
      </c>
      <c r="J9" s="57">
        <v>2.50796503184859</v>
      </c>
      <c r="K9" s="57">
        <v>65.202198074319995</v>
      </c>
      <c r="L9" s="60">
        <v>20</v>
      </c>
      <c r="M9" s="60" t="s">
        <v>237</v>
      </c>
      <c r="N9" s="60">
        <v>9</v>
      </c>
      <c r="O9" s="57">
        <v>150.876119625347</v>
      </c>
      <c r="P9" s="60" t="s">
        <v>238</v>
      </c>
      <c r="Q9" s="61">
        <v>14.3370747744</v>
      </c>
      <c r="R9" s="61">
        <v>16.345999915733302</v>
      </c>
      <c r="S9" s="62">
        <v>15.18</v>
      </c>
    </row>
    <row r="10" spans="1:19" s="55" customFormat="1" ht="15.75" customHeight="1">
      <c r="A10" s="55">
        <f t="shared" si="0"/>
        <v>0</v>
      </c>
      <c r="B10" s="56"/>
      <c r="E10" s="57">
        <v>148046.24563997399</v>
      </c>
      <c r="F10" s="57">
        <v>0</v>
      </c>
      <c r="G10" s="58">
        <v>0</v>
      </c>
      <c r="H10" s="59">
        <v>35793858.75</v>
      </c>
      <c r="I10" s="57">
        <v>5.21880854270408</v>
      </c>
      <c r="J10" s="57">
        <v>2.1951181608205799</v>
      </c>
      <c r="K10" s="57">
        <v>53.276663758277799</v>
      </c>
      <c r="L10" s="60">
        <v>17</v>
      </c>
      <c r="M10" s="60" t="s">
        <v>239</v>
      </c>
      <c r="N10" s="60">
        <v>8</v>
      </c>
      <c r="O10" s="57">
        <v>841.22618696064501</v>
      </c>
      <c r="P10" s="60" t="s">
        <v>238</v>
      </c>
      <c r="Q10" s="61">
        <v>14.3370747744</v>
      </c>
      <c r="R10" s="61">
        <v>16.345999915733302</v>
      </c>
      <c r="S10" s="62">
        <v>15.18</v>
      </c>
    </row>
    <row r="11" spans="1:19" ht="15.75" customHeight="1">
      <c r="A11">
        <f t="shared" si="0"/>
        <v>0</v>
      </c>
      <c r="E11" s="20">
        <v>147272.638773877</v>
      </c>
      <c r="F11" s="20">
        <v>0</v>
      </c>
      <c r="G11" s="29">
        <v>0</v>
      </c>
      <c r="H11" s="21">
        <v>29518041.03125</v>
      </c>
      <c r="I11" s="20">
        <v>4.3037831867905902</v>
      </c>
      <c r="J11" s="20">
        <v>1.8102431917656201</v>
      </c>
      <c r="K11" s="20">
        <v>57.814022873551799</v>
      </c>
      <c r="L11" s="22">
        <v>24</v>
      </c>
      <c r="M11" s="22" t="s">
        <v>240</v>
      </c>
      <c r="N11" s="22">
        <v>9</v>
      </c>
      <c r="O11" s="20">
        <v>67.619320863770596</v>
      </c>
      <c r="P11" s="22" t="s">
        <v>241</v>
      </c>
      <c r="Q11" s="30">
        <v>14.5049374613333</v>
      </c>
      <c r="R11" s="30">
        <v>16.677504655733301</v>
      </c>
      <c r="S11" s="31">
        <v>15.34</v>
      </c>
    </row>
    <row r="12" spans="1:19" ht="15.75" customHeight="1">
      <c r="A12">
        <f t="shared" si="0"/>
        <v>0</v>
      </c>
      <c r="E12" s="20">
        <v>150253.36509366101</v>
      </c>
      <c r="F12" s="20">
        <v>0</v>
      </c>
      <c r="G12" s="29">
        <v>0</v>
      </c>
      <c r="H12" s="21">
        <v>17921249.75</v>
      </c>
      <c r="I12" s="20">
        <v>2.61295018290051</v>
      </c>
      <c r="J12" s="20">
        <v>1.09905055011511</v>
      </c>
      <c r="K12" s="20">
        <v>54.844375024552598</v>
      </c>
      <c r="L12" s="22">
        <v>11</v>
      </c>
      <c r="M12" s="22" t="s">
        <v>242</v>
      </c>
      <c r="N12" s="22">
        <v>4</v>
      </c>
      <c r="O12" s="20">
        <v>3048.34564064708</v>
      </c>
      <c r="P12" s="22" t="s">
        <v>243</v>
      </c>
      <c r="Q12" s="30">
        <v>14.5049374613333</v>
      </c>
      <c r="R12" s="30">
        <v>15.6770250144</v>
      </c>
      <c r="S12" s="31">
        <v>15.18</v>
      </c>
    </row>
    <row r="13" spans="1:19" ht="15.75" customHeight="1">
      <c r="A13" t="str">
        <f t="shared" si="0"/>
        <v>Trastuzumab ADC_2K_loss_deglyc</v>
      </c>
      <c r="C13" t="s">
        <v>19</v>
      </c>
      <c r="D13" t="s">
        <v>41</v>
      </c>
      <c r="E13" s="20">
        <v>146328.58639319599</v>
      </c>
      <c r="F13" s="20">
        <v>146342.360044</v>
      </c>
      <c r="G13" s="29">
        <v>94.128229786949007</v>
      </c>
      <c r="H13" s="21">
        <v>16936054.625</v>
      </c>
      <c r="I13" s="20">
        <v>2.4693070352114601</v>
      </c>
      <c r="J13" s="20">
        <v>1.0386318396777501</v>
      </c>
      <c r="K13" s="20">
        <v>51.574078072423902</v>
      </c>
      <c r="L13" s="22">
        <v>12</v>
      </c>
      <c r="M13" s="22" t="s">
        <v>217</v>
      </c>
      <c r="N13" s="22">
        <v>6</v>
      </c>
      <c r="O13" s="20">
        <v>-876.43305981796595</v>
      </c>
      <c r="P13" s="22" t="s">
        <v>244</v>
      </c>
      <c r="Q13" s="30">
        <v>14.5049374613333</v>
      </c>
      <c r="R13" s="30">
        <v>16.011192695199998</v>
      </c>
      <c r="S13" s="31">
        <v>15.18</v>
      </c>
    </row>
    <row r="14" spans="1:19" ht="15.75" customHeight="1">
      <c r="A14">
        <f t="shared" si="0"/>
        <v>0</v>
      </c>
      <c r="E14" s="20">
        <v>148970.34006884301</v>
      </c>
      <c r="F14" s="20">
        <v>0</v>
      </c>
      <c r="G14" s="29">
        <v>0</v>
      </c>
      <c r="H14" s="21">
        <v>12659123.25</v>
      </c>
      <c r="I14" s="20">
        <v>1.8457228117232201</v>
      </c>
      <c r="J14" s="20">
        <v>0.776341885451729</v>
      </c>
      <c r="K14" s="20">
        <v>40.318558007413003</v>
      </c>
      <c r="L14" s="22">
        <v>9</v>
      </c>
      <c r="M14" s="22" t="s">
        <v>245</v>
      </c>
      <c r="N14" s="22">
        <v>3</v>
      </c>
      <c r="O14" s="20">
        <v>1765.3206158292001</v>
      </c>
      <c r="P14" s="22" t="s">
        <v>246</v>
      </c>
      <c r="Q14" s="30">
        <v>14.8396720576</v>
      </c>
      <c r="R14" s="30">
        <v>15.848351401066701</v>
      </c>
      <c r="S14" s="31">
        <v>15.34</v>
      </c>
    </row>
    <row r="15" spans="1:19" ht="15.75" customHeight="1">
      <c r="A15" t="str">
        <f t="shared" si="0"/>
        <v>Trastuzumab ADC_1K_loss_deglyc</v>
      </c>
      <c r="C15" t="s">
        <v>61</v>
      </c>
      <c r="D15" t="s">
        <v>247</v>
      </c>
      <c r="E15" s="20">
        <v>148114.45748517799</v>
      </c>
      <c r="F15" s="20">
        <v>148107.61604399999</v>
      </c>
      <c r="G15" s="29">
        <v>46.190232163985797</v>
      </c>
      <c r="H15" s="21">
        <v>12264032.625</v>
      </c>
      <c r="I15" s="20">
        <v>1.78811790134274</v>
      </c>
      <c r="J15" s="20">
        <v>0.75211229666839996</v>
      </c>
      <c r="K15" s="20">
        <v>41.336956648620003</v>
      </c>
      <c r="L15" s="22">
        <v>18</v>
      </c>
      <c r="M15" s="22" t="s">
        <v>248</v>
      </c>
      <c r="N15" s="22">
        <v>5</v>
      </c>
      <c r="O15" s="20">
        <v>909.43803216455899</v>
      </c>
      <c r="P15" s="22" t="s">
        <v>249</v>
      </c>
      <c r="Q15" s="30">
        <v>14.8396720576</v>
      </c>
      <c r="R15" s="30">
        <v>16.179650597599998</v>
      </c>
      <c r="S15" s="31">
        <v>15.34</v>
      </c>
    </row>
    <row r="16" spans="1:19" ht="15.75" customHeight="1">
      <c r="A16" t="str">
        <f t="shared" si="0"/>
        <v>Trastuzumab ADC_2K_loss_deglyc</v>
      </c>
      <c r="C16" t="s">
        <v>19</v>
      </c>
      <c r="D16" t="s">
        <v>36</v>
      </c>
      <c r="E16" s="20">
        <v>147091.544643662</v>
      </c>
      <c r="F16" s="20">
        <v>147084.24704399999</v>
      </c>
      <c r="G16" s="29">
        <v>49.612638709707099</v>
      </c>
      <c r="H16" s="21">
        <v>7483812.875</v>
      </c>
      <c r="I16" s="20">
        <v>1.0911532847138301</v>
      </c>
      <c r="J16" s="20">
        <v>0.458957321755531</v>
      </c>
      <c r="K16" s="20">
        <v>59.483936572963103</v>
      </c>
      <c r="L16" s="22">
        <v>15</v>
      </c>
      <c r="M16" s="22" t="s">
        <v>250</v>
      </c>
      <c r="N16" s="22">
        <v>4</v>
      </c>
      <c r="O16" s="20">
        <v>-113.474809351872</v>
      </c>
      <c r="P16" s="22" t="s">
        <v>249</v>
      </c>
      <c r="Q16" s="30">
        <v>14.8396720576</v>
      </c>
      <c r="R16" s="30">
        <v>16.179650597599998</v>
      </c>
      <c r="S16" s="31">
        <v>15.34</v>
      </c>
    </row>
    <row r="17" spans="1:19" ht="15.75" customHeight="1">
      <c r="A17">
        <f t="shared" si="0"/>
        <v>0</v>
      </c>
      <c r="E17" s="20">
        <v>74664.023701097496</v>
      </c>
      <c r="F17" s="20">
        <v>0</v>
      </c>
      <c r="G17" s="29">
        <v>0</v>
      </c>
      <c r="H17" s="21">
        <v>6730955.640625</v>
      </c>
      <c r="I17" s="20">
        <v>0.98138536869019399</v>
      </c>
      <c r="J17" s="20">
        <v>0.41278710034057697</v>
      </c>
      <c r="K17" s="20">
        <v>43.562233513607602</v>
      </c>
      <c r="L17" s="22">
        <v>14</v>
      </c>
      <c r="M17" s="22" t="s">
        <v>251</v>
      </c>
      <c r="N17" s="22">
        <v>6</v>
      </c>
      <c r="O17" s="20">
        <v>-72540.995751916198</v>
      </c>
      <c r="P17" s="22" t="s">
        <v>236</v>
      </c>
      <c r="Q17" s="30">
        <v>14.5049374613333</v>
      </c>
      <c r="R17" s="30">
        <v>16.345999915733302</v>
      </c>
      <c r="S17" s="31">
        <v>15.18</v>
      </c>
    </row>
    <row r="18" spans="1:19" ht="15.75" customHeight="1">
      <c r="A18">
        <f t="shared" si="0"/>
        <v>0</v>
      </c>
      <c r="E18" s="20">
        <v>75428.946466404799</v>
      </c>
      <c r="F18" s="20">
        <v>0</v>
      </c>
      <c r="G18" s="29">
        <v>0</v>
      </c>
      <c r="H18" s="21">
        <v>6115234.25</v>
      </c>
      <c r="I18" s="20">
        <v>0.89161209683333298</v>
      </c>
      <c r="J18" s="20">
        <v>0.37502696068479702</v>
      </c>
      <c r="K18" s="20">
        <v>37.390067241192</v>
      </c>
      <c r="L18" s="22">
        <v>16</v>
      </c>
      <c r="M18" s="22" t="s">
        <v>252</v>
      </c>
      <c r="N18" s="22">
        <v>8</v>
      </c>
      <c r="O18" s="20">
        <v>-71776.072986608895</v>
      </c>
      <c r="P18" s="22" t="s">
        <v>253</v>
      </c>
      <c r="Q18" s="30">
        <v>14.3370747744</v>
      </c>
      <c r="R18" s="30">
        <v>16.513452390400001</v>
      </c>
      <c r="S18" s="31">
        <v>15.01</v>
      </c>
    </row>
    <row r="19" spans="1:19" ht="15.75" customHeight="1">
      <c r="A19">
        <f t="shared" si="0"/>
        <v>0</v>
      </c>
      <c r="E19" s="20">
        <v>106603.34943226499</v>
      </c>
      <c r="F19" s="20">
        <v>0</v>
      </c>
      <c r="G19" s="29">
        <v>0</v>
      </c>
      <c r="H19" s="21">
        <v>5821635.125</v>
      </c>
      <c r="I19" s="20">
        <v>0.84880478916135305</v>
      </c>
      <c r="J19" s="20">
        <v>0.35702149109960601</v>
      </c>
      <c r="K19" s="20">
        <v>27.461068754758099</v>
      </c>
      <c r="L19" s="22">
        <v>9</v>
      </c>
      <c r="M19" s="22" t="s">
        <v>254</v>
      </c>
      <c r="N19" s="22">
        <v>3</v>
      </c>
      <c r="O19" s="20">
        <v>-40601.670020748199</v>
      </c>
      <c r="P19" s="22" t="s">
        <v>255</v>
      </c>
      <c r="Q19" s="30">
        <v>14.5049374613333</v>
      </c>
      <c r="R19" s="30">
        <v>15.5117294106667</v>
      </c>
      <c r="S19" s="31">
        <v>15.01</v>
      </c>
    </row>
    <row r="20" spans="1:19" ht="15.75" customHeight="1">
      <c r="A20">
        <f t="shared" si="0"/>
        <v>0</v>
      </c>
      <c r="E20" s="20">
        <v>73112.497236104202</v>
      </c>
      <c r="F20" s="20">
        <v>0</v>
      </c>
      <c r="G20" s="29">
        <v>0</v>
      </c>
      <c r="H20" s="21">
        <v>5169715.625</v>
      </c>
      <c r="I20" s="20">
        <v>0.75375377583890202</v>
      </c>
      <c r="J20" s="20">
        <v>0.31704144510995103</v>
      </c>
      <c r="K20" s="20">
        <v>34.191094647239098</v>
      </c>
      <c r="L20" s="22">
        <v>10</v>
      </c>
      <c r="M20" s="22" t="s">
        <v>256</v>
      </c>
      <c r="N20" s="22">
        <v>7</v>
      </c>
      <c r="O20" s="20">
        <v>-74092.522216909405</v>
      </c>
      <c r="P20" s="22" t="s">
        <v>257</v>
      </c>
      <c r="Q20" s="30">
        <v>14.3370747744</v>
      </c>
      <c r="R20" s="30">
        <v>16.677504655733301</v>
      </c>
      <c r="S20" s="31">
        <v>15.01</v>
      </c>
    </row>
    <row r="21" spans="1:19" ht="15.75" customHeight="1">
      <c r="A21">
        <f t="shared" si="0"/>
        <v>0</v>
      </c>
      <c r="E21" s="20">
        <v>109217.87970495201</v>
      </c>
      <c r="F21" s="20">
        <v>0</v>
      </c>
      <c r="G21" s="29">
        <v>0</v>
      </c>
      <c r="H21" s="21">
        <v>4949874.625</v>
      </c>
      <c r="I21" s="20">
        <v>0.72170058111480395</v>
      </c>
      <c r="J21" s="20">
        <v>0.30355933529974399</v>
      </c>
      <c r="K21" s="20">
        <v>45.778343937812302</v>
      </c>
      <c r="L21" s="22">
        <v>11</v>
      </c>
      <c r="M21" s="22" t="s">
        <v>258</v>
      </c>
      <c r="N21" s="22">
        <v>3</v>
      </c>
      <c r="O21" s="20">
        <v>-37987.139748062102</v>
      </c>
      <c r="P21" s="22" t="s">
        <v>259</v>
      </c>
      <c r="Q21" s="30">
        <v>15.0053437746667</v>
      </c>
      <c r="R21" s="30">
        <v>16.011192695199998</v>
      </c>
      <c r="S21" s="31">
        <v>15.51</v>
      </c>
    </row>
    <row r="22" spans="1:19" ht="15.75" customHeight="1">
      <c r="A22">
        <f t="shared" si="0"/>
        <v>0</v>
      </c>
      <c r="E22" s="20">
        <v>24755.6459977753</v>
      </c>
      <c r="F22" s="20">
        <v>0</v>
      </c>
      <c r="G22" s="29">
        <v>0</v>
      </c>
      <c r="H22" s="21">
        <v>4688383.8125</v>
      </c>
      <c r="I22" s="20">
        <v>0.68357471877755005</v>
      </c>
      <c r="J22" s="20">
        <v>0.28752295992236898</v>
      </c>
      <c r="K22" s="20">
        <v>23.445821573578002</v>
      </c>
      <c r="L22" s="22">
        <v>7</v>
      </c>
      <c r="M22" s="22" t="s">
        <v>260</v>
      </c>
      <c r="N22" s="22">
        <v>4</v>
      </c>
      <c r="O22" s="20">
        <v>-122449.373455238</v>
      </c>
      <c r="P22" s="22" t="s">
        <v>261</v>
      </c>
      <c r="Q22" s="30">
        <v>14.3370747744</v>
      </c>
      <c r="R22" s="30">
        <v>15.6770250144</v>
      </c>
      <c r="S22" s="31">
        <v>15.18</v>
      </c>
    </row>
    <row r="23" spans="1:19" ht="15.75" customHeight="1">
      <c r="A23">
        <f t="shared" si="0"/>
        <v>0</v>
      </c>
      <c r="E23" s="20">
        <v>117201.89103012699</v>
      </c>
      <c r="F23" s="20">
        <v>0</v>
      </c>
      <c r="G23" s="29">
        <v>0</v>
      </c>
      <c r="H23" s="21">
        <v>4659871.0625</v>
      </c>
      <c r="I23" s="20">
        <v>0.67941749283788999</v>
      </c>
      <c r="J23" s="20">
        <v>0.28577436116000599</v>
      </c>
      <c r="K23" s="20">
        <v>18.877255798216002</v>
      </c>
      <c r="L23" s="22">
        <v>12</v>
      </c>
      <c r="M23" s="22" t="s">
        <v>262</v>
      </c>
      <c r="N23" s="22">
        <v>3</v>
      </c>
      <c r="O23" s="20">
        <v>-30003.128422886599</v>
      </c>
      <c r="P23" s="22" t="s">
        <v>263</v>
      </c>
      <c r="Q23" s="30">
        <v>14.6765366205333</v>
      </c>
      <c r="R23" s="30">
        <v>15.6770250144</v>
      </c>
      <c r="S23" s="31">
        <v>15.18</v>
      </c>
    </row>
    <row r="24" spans="1:19" ht="15.75" customHeight="1">
      <c r="A24">
        <f t="shared" si="0"/>
        <v>0</v>
      </c>
      <c r="E24" s="20">
        <v>112182.34259380501</v>
      </c>
      <c r="F24" s="20">
        <v>0</v>
      </c>
      <c r="G24" s="29">
        <v>0</v>
      </c>
      <c r="H24" s="21">
        <v>3564128.0625</v>
      </c>
      <c r="I24" s="20">
        <v>0.51965624766164398</v>
      </c>
      <c r="J24" s="20">
        <v>0.218576109334508</v>
      </c>
      <c r="K24" s="20">
        <v>28.481194625504401</v>
      </c>
      <c r="L24" s="22">
        <v>11</v>
      </c>
      <c r="M24" s="22" t="s">
        <v>258</v>
      </c>
      <c r="N24" s="22">
        <v>3</v>
      </c>
      <c r="O24" s="20">
        <v>-35022.676859208703</v>
      </c>
      <c r="P24" s="22" t="s">
        <v>264</v>
      </c>
      <c r="Q24" s="30">
        <v>14.8396720576</v>
      </c>
      <c r="R24" s="30">
        <v>16.011192695199998</v>
      </c>
      <c r="S24" s="31">
        <v>15.51</v>
      </c>
    </row>
    <row r="25" spans="1:19" ht="15.75" customHeight="1">
      <c r="A25">
        <f t="shared" si="0"/>
        <v>0</v>
      </c>
      <c r="E25" s="20">
        <v>73982.038205500794</v>
      </c>
      <c r="F25" s="20">
        <v>0</v>
      </c>
      <c r="G25" s="29">
        <v>0</v>
      </c>
      <c r="H25" s="21">
        <v>2893721.65625</v>
      </c>
      <c r="I25" s="20">
        <v>0.42190978938080598</v>
      </c>
      <c r="J25" s="20">
        <v>0.17746231411239299</v>
      </c>
      <c r="K25" s="20">
        <v>51.1085256273753</v>
      </c>
      <c r="L25" s="22">
        <v>13</v>
      </c>
      <c r="M25" s="22" t="s">
        <v>265</v>
      </c>
      <c r="N25" s="22">
        <v>5</v>
      </c>
      <c r="O25" s="20">
        <v>-73222.9812475129</v>
      </c>
      <c r="P25" s="22" t="s">
        <v>266</v>
      </c>
      <c r="Q25" s="30">
        <v>14.171607271199999</v>
      </c>
      <c r="R25" s="30">
        <v>16.677504655733301</v>
      </c>
      <c r="S25" s="31">
        <v>16.010000000000002</v>
      </c>
    </row>
    <row r="26" spans="1:19" ht="15.75" customHeight="1">
      <c r="A26">
        <f t="shared" si="0"/>
        <v>0</v>
      </c>
      <c r="E26" s="20">
        <v>73219.454743166003</v>
      </c>
      <c r="F26" s="20">
        <v>0</v>
      </c>
      <c r="G26" s="29">
        <v>0</v>
      </c>
      <c r="H26" s="21">
        <v>2370848.5078125</v>
      </c>
      <c r="I26" s="20">
        <v>0.34567396236924702</v>
      </c>
      <c r="J26" s="20">
        <v>0.145396250180579</v>
      </c>
      <c r="K26" s="20">
        <v>67.220106042644503</v>
      </c>
      <c r="L26" s="22">
        <v>17</v>
      </c>
      <c r="M26" s="22" t="s">
        <v>267</v>
      </c>
      <c r="N26" s="22">
        <v>5</v>
      </c>
      <c r="O26" s="20">
        <v>-73985.564709847604</v>
      </c>
      <c r="P26" s="22" t="s">
        <v>229</v>
      </c>
      <c r="Q26" s="30">
        <v>14.171607271199999</v>
      </c>
      <c r="R26" s="30">
        <v>16.841741571733301</v>
      </c>
      <c r="S26" s="31">
        <v>16.18</v>
      </c>
    </row>
    <row r="27" spans="1:19" ht="15.75" customHeight="1">
      <c r="A27">
        <f t="shared" si="0"/>
        <v>0</v>
      </c>
      <c r="E27" s="20">
        <v>46486.202039940297</v>
      </c>
      <c r="F27" s="20">
        <v>0</v>
      </c>
      <c r="G27" s="29">
        <v>0</v>
      </c>
      <c r="H27" s="21">
        <v>1889876.75</v>
      </c>
      <c r="I27" s="20">
        <v>0.27554740626727098</v>
      </c>
      <c r="J27" s="20">
        <v>0.11589984777462101</v>
      </c>
      <c r="K27" s="20">
        <v>25.659493052421201</v>
      </c>
      <c r="L27" s="22">
        <v>12</v>
      </c>
      <c r="M27" s="22" t="s">
        <v>268</v>
      </c>
      <c r="N27" s="22">
        <v>3</v>
      </c>
      <c r="O27" s="20">
        <v>-100718.817413073</v>
      </c>
      <c r="P27" s="22" t="s">
        <v>236</v>
      </c>
      <c r="Q27" s="30">
        <v>14.5049374613333</v>
      </c>
      <c r="R27" s="30">
        <v>16.345999915733302</v>
      </c>
      <c r="S27" s="31">
        <v>15.85</v>
      </c>
    </row>
    <row r="28" spans="1:19" ht="15.75" customHeight="1">
      <c r="A28">
        <f t="shared" si="0"/>
        <v>0</v>
      </c>
      <c r="E28" s="20"/>
      <c r="F28" s="20"/>
      <c r="G28" s="29"/>
      <c r="H28" s="21"/>
      <c r="I28" s="20"/>
      <c r="J28" s="20"/>
      <c r="K28" s="20"/>
      <c r="L28" s="22"/>
      <c r="M28" s="22"/>
      <c r="N28" s="22"/>
      <c r="O28" s="20"/>
      <c r="P28" s="22"/>
      <c r="Q28" s="30"/>
      <c r="R28" s="30"/>
      <c r="S28" s="31"/>
    </row>
    <row r="29" spans="1:19" ht="15.75" customHeight="1">
      <c r="E29" s="20"/>
      <c r="F29" s="20"/>
      <c r="G29" s="29"/>
      <c r="H29" s="21"/>
      <c r="I29" s="20"/>
      <c r="J29" s="20"/>
      <c r="K29" s="20"/>
      <c r="L29" s="22"/>
      <c r="M29" s="22"/>
      <c r="N29" s="22"/>
      <c r="O29" s="20"/>
      <c r="P29" s="22"/>
      <c r="Q29" s="30"/>
      <c r="R29" s="30"/>
      <c r="S29" s="31"/>
    </row>
    <row r="30" spans="1:19" ht="15.75" customHeight="1">
      <c r="E30" s="20"/>
      <c r="F30" s="20"/>
      <c r="G30" s="29"/>
      <c r="H30" s="21"/>
      <c r="I30" s="20"/>
      <c r="J30" s="20"/>
      <c r="K30" s="20"/>
      <c r="L30" s="22"/>
      <c r="M30" s="22"/>
      <c r="N30" s="22"/>
      <c r="O30" s="20"/>
      <c r="P30" s="22"/>
      <c r="Q30" s="30"/>
      <c r="R30" s="30"/>
      <c r="S30" s="31"/>
    </row>
    <row r="31" spans="1:19" ht="15.75" customHeight="1">
      <c r="E31" s="20"/>
      <c r="F31" s="20"/>
      <c r="G31" s="29"/>
      <c r="H31" s="21"/>
      <c r="I31" s="20"/>
      <c r="J31" s="20"/>
      <c r="K31" s="20"/>
      <c r="L31" s="22"/>
      <c r="M31" s="22"/>
      <c r="N31" s="22"/>
      <c r="O31" s="20"/>
      <c r="P31" s="22"/>
      <c r="Q31" s="30"/>
      <c r="R31" s="30"/>
      <c r="S31" s="31"/>
    </row>
    <row r="32" spans="1:19" ht="15.75" customHeight="1">
      <c r="E32" s="20"/>
      <c r="F32" s="20"/>
      <c r="G32" s="29"/>
      <c r="H32" s="21"/>
      <c r="I32" s="20"/>
      <c r="J32" s="20"/>
      <c r="K32" s="20"/>
      <c r="L32" s="22"/>
      <c r="M32" s="22"/>
      <c r="N32" s="22"/>
      <c r="O32" s="20"/>
      <c r="P32" s="22"/>
      <c r="Q32" s="30"/>
      <c r="R32" s="30"/>
      <c r="S32" s="31"/>
    </row>
    <row r="33" spans="5:19" ht="15.75" customHeight="1">
      <c r="E33" s="20"/>
      <c r="F33" s="20"/>
      <c r="G33" s="29"/>
      <c r="H33" s="21"/>
      <c r="I33" s="20"/>
      <c r="J33" s="20"/>
      <c r="K33" s="20"/>
      <c r="L33" s="22"/>
      <c r="M33" s="22"/>
      <c r="N33" s="22"/>
      <c r="O33" s="20"/>
      <c r="P33" s="22"/>
      <c r="Q33" s="30"/>
      <c r="R33" s="30"/>
      <c r="S33" s="31"/>
    </row>
    <row r="34" spans="5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5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5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5:19" ht="15.75" customHeight="1"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5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5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5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5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5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5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5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5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5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5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5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20"/>
      <c r="F55" s="20"/>
      <c r="G55" s="29"/>
      <c r="H55" s="21"/>
      <c r="I55" s="20"/>
      <c r="J55" s="20"/>
      <c r="K55" s="20"/>
      <c r="L55" s="22"/>
      <c r="M55" s="22"/>
      <c r="N55" s="22"/>
      <c r="O55" s="20"/>
      <c r="P55" s="22"/>
      <c r="Q55" s="30"/>
      <c r="R55" s="30"/>
      <c r="S55" s="31"/>
    </row>
    <row r="56" spans="5:19" ht="15.75" customHeight="1">
      <c r="E56" s="20"/>
      <c r="F56" s="20"/>
      <c r="G56" s="29"/>
      <c r="H56" s="21"/>
      <c r="I56" s="20"/>
      <c r="J56" s="20"/>
      <c r="K56" s="20"/>
      <c r="L56" s="22"/>
      <c r="M56" s="22"/>
      <c r="N56" s="22"/>
      <c r="O56" s="20"/>
      <c r="P56" s="22"/>
      <c r="Q56" s="30"/>
      <c r="R56" s="30"/>
      <c r="S56" s="31"/>
    </row>
    <row r="57" spans="5:19" ht="15.75" customHeight="1">
      <c r="E57" s="18"/>
      <c r="F57" s="18"/>
      <c r="G57" s="18"/>
      <c r="H57" s="2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5:19" ht="15.75" customHeight="1">
      <c r="E58" s="18"/>
      <c r="F58" s="18"/>
      <c r="G58" s="18"/>
      <c r="H58" s="23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5:19" ht="15.75" customHeight="1">
      <c r="E59" s="18"/>
      <c r="F59" s="18"/>
      <c r="G59" s="18"/>
      <c r="H59" s="2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5:19" ht="15.75" customHeight="1">
      <c r="E60" s="18"/>
      <c r="F60" s="18"/>
      <c r="G60" s="18"/>
      <c r="H60" s="23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5:19" ht="15.75" customHeight="1"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5:19" ht="15.75" customHeight="1">
      <c r="E62" s="18"/>
      <c r="F62" s="18"/>
      <c r="G62" s="18"/>
      <c r="H62" s="2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5:19" ht="15.75" customHeight="1">
      <c r="E63" s="18"/>
      <c r="F63" s="18"/>
      <c r="G63" s="18"/>
      <c r="H63" s="2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5:19" ht="15.75" customHeight="1">
      <c r="E64" s="18"/>
      <c r="F64" s="18"/>
      <c r="G64" s="18"/>
      <c r="H64" s="2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5:19" ht="15.75" customHeight="1">
      <c r="E65" s="18"/>
      <c r="F65" s="18"/>
      <c r="G65" s="18"/>
      <c r="H65" s="2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5:19" ht="15.75" customHeight="1">
      <c r="E66" s="18"/>
      <c r="F66" s="18"/>
      <c r="G66" s="18"/>
      <c r="H66" s="2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5:19" ht="15.75" customHeight="1"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5:19" ht="15.75" customHeight="1">
      <c r="E68" s="18"/>
      <c r="F68" s="18"/>
      <c r="G68" s="18"/>
      <c r="H68" s="2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5:19" ht="15.75" customHeight="1">
      <c r="E69" s="18"/>
      <c r="F69" s="18"/>
      <c r="G69" s="18"/>
      <c r="H69" s="2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5:19" ht="15.75" customHeight="1">
      <c r="E70" s="18"/>
      <c r="F70" s="18"/>
      <c r="G70" s="18"/>
      <c r="H70" s="2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5:19" ht="15.75" customHeight="1">
      <c r="E71" s="18"/>
      <c r="F71" s="18"/>
      <c r="G71" s="18"/>
      <c r="H71" s="2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5:19" ht="15.75" customHeight="1">
      <c r="E72" s="18"/>
      <c r="F72" s="18"/>
      <c r="G72" s="18"/>
      <c r="H72" s="2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5:19" ht="15.75" customHeight="1">
      <c r="E73" s="18"/>
      <c r="F73" s="18"/>
      <c r="G73" s="18"/>
      <c r="H73" s="2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5:19" ht="15.75" customHeight="1">
      <c r="E74" s="18"/>
      <c r="F74" s="18"/>
      <c r="G74" s="18"/>
      <c r="H74" s="2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5:19" ht="15.75" customHeight="1">
      <c r="E75" s="18"/>
      <c r="F75" s="18"/>
      <c r="G75" s="18"/>
      <c r="H75" s="2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5:19" ht="15.75" customHeight="1">
      <c r="E76" s="18"/>
      <c r="F76" s="18"/>
      <c r="G76" s="18"/>
      <c r="H76" s="2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5:19" ht="15.75" customHeight="1">
      <c r="E77" s="18"/>
      <c r="F77" s="18"/>
      <c r="G77" s="18"/>
      <c r="H77" s="2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5:19" ht="15.75" customHeight="1">
      <c r="E78" s="18"/>
      <c r="F78" s="18"/>
      <c r="G78" s="18"/>
      <c r="H78" s="2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5:19" ht="15.75" customHeight="1">
      <c r="E79" s="18"/>
      <c r="F79" s="18"/>
      <c r="G79" s="18"/>
      <c r="H79" s="2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5:19" ht="15.75" customHeight="1">
      <c r="E80" s="18"/>
      <c r="F80" s="18"/>
      <c r="G80" s="18"/>
      <c r="H80" s="2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5:19" ht="15.75" customHeight="1">
      <c r="E81" s="18"/>
      <c r="F81" s="18"/>
      <c r="G81" s="18"/>
      <c r="H81" s="2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spans="5:19" ht="15.75" customHeight="1">
      <c r="E82" s="18"/>
      <c r="F82" s="18"/>
      <c r="G82" s="18"/>
      <c r="H82" s="2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5:19" ht="15.75" customHeight="1">
      <c r="E83" s="18"/>
      <c r="F83" s="18"/>
      <c r="G83" s="18"/>
      <c r="H83" s="2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5:19" ht="15.75" customHeight="1">
      <c r="E84" s="18"/>
      <c r="F84" s="18"/>
      <c r="G84" s="18"/>
      <c r="H84" s="2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5:19" ht="15.75" customHeight="1">
      <c r="E85" s="18"/>
      <c r="F85" s="18"/>
      <c r="G85" s="18"/>
      <c r="H85" s="2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5:19" ht="15.75" customHeight="1">
      <c r="E86" s="18"/>
      <c r="F86" s="18"/>
      <c r="G86" s="18"/>
      <c r="H86" s="2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5:19" ht="15.75" customHeight="1">
      <c r="E87" s="18"/>
      <c r="F87" s="18"/>
      <c r="G87" s="18"/>
      <c r="H87" s="2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5:19" ht="15.75" customHeight="1">
      <c r="E88" s="18"/>
      <c r="F88" s="18"/>
      <c r="G88" s="18"/>
      <c r="H88" s="2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5:19" ht="15.75" customHeight="1">
      <c r="E89" s="18"/>
      <c r="F89" s="18"/>
      <c r="G89" s="18"/>
      <c r="H89" s="2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5:19" ht="15.75" customHeight="1">
      <c r="E90" s="18"/>
      <c r="F90" s="18"/>
      <c r="G90" s="18"/>
      <c r="H90" s="2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5:19" ht="15.75" customHeight="1">
      <c r="E91" s="18"/>
      <c r="F91" s="18"/>
      <c r="G91" s="18"/>
      <c r="H91" s="2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5:19" ht="15.75" customHeight="1">
      <c r="E92" s="18"/>
      <c r="F92" s="18"/>
      <c r="G92" s="18"/>
      <c r="H92" s="2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5:19" ht="15.75" customHeight="1">
      <c r="E93" s="18"/>
      <c r="F93" s="18"/>
      <c r="G93" s="18"/>
      <c r="H93" s="2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5:19" ht="15.75" customHeight="1">
      <c r="E94" s="18"/>
      <c r="F94" s="18"/>
      <c r="G94" s="18"/>
      <c r="H94" s="2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5:19" ht="15.75" customHeight="1">
      <c r="E95" s="18"/>
      <c r="F95" s="18"/>
      <c r="G95" s="18"/>
      <c r="H95" s="2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5:19" ht="15.75" customHeight="1">
      <c r="E96" s="18"/>
      <c r="F96" s="18"/>
      <c r="G96" s="18"/>
      <c r="H96" s="2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5:19" ht="15.75" customHeight="1">
      <c r="E97" s="18"/>
      <c r="F97" s="18"/>
      <c r="G97" s="18"/>
      <c r="H97" s="2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5:19" ht="15.75" customHeight="1">
      <c r="E98" s="18"/>
      <c r="F98" s="18"/>
      <c r="G98" s="18"/>
      <c r="H98" s="2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5:19" ht="15.75" customHeight="1"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5:19" ht="15.75" customHeight="1">
      <c r="E100" s="18"/>
      <c r="F100" s="18"/>
      <c r="G100" s="18"/>
      <c r="H100" s="2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5:19" ht="15.75" customHeight="1">
      <c r="E101" s="18"/>
      <c r="F101" s="18"/>
      <c r="G101" s="18"/>
      <c r="H101" s="2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5:19" ht="15.75" customHeight="1">
      <c r="E102" s="18"/>
      <c r="F102" s="18"/>
      <c r="G102" s="18"/>
      <c r="H102" s="2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5:19" ht="15.75" customHeight="1">
      <c r="E103" s="18"/>
      <c r="F103" s="18"/>
      <c r="G103" s="18"/>
      <c r="H103" s="2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5:19" ht="15.75" customHeight="1">
      <c r="E104" s="18"/>
      <c r="F104" s="18"/>
      <c r="G104" s="18"/>
      <c r="H104" s="2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5:19" ht="15.75" customHeight="1">
      <c r="E105" s="18"/>
      <c r="F105" s="18"/>
      <c r="G105" s="18"/>
      <c r="H105" s="2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5:19" ht="15.75" customHeight="1">
      <c r="E106" s="18"/>
      <c r="F106" s="18"/>
      <c r="G106" s="18"/>
      <c r="H106" s="2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5:19" ht="15.75" customHeight="1">
      <c r="E107" s="18"/>
      <c r="F107" s="18"/>
      <c r="G107" s="18"/>
      <c r="H107" s="2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5:19" ht="15.75" customHeight="1">
      <c r="E108" s="18"/>
      <c r="F108" s="18"/>
      <c r="G108" s="18"/>
      <c r="H108" s="2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5:19" ht="15.75" customHeight="1">
      <c r="E109" s="18"/>
      <c r="F109" s="18"/>
      <c r="G109" s="18"/>
      <c r="H109" s="2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5:19" ht="15.75" customHeight="1"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5:19" ht="15.75" customHeight="1">
      <c r="E111" s="18"/>
      <c r="F111" s="18"/>
      <c r="G111" s="18"/>
      <c r="H111" s="2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5:19" ht="15.75" customHeight="1">
      <c r="E112" s="18"/>
      <c r="F112" s="18"/>
      <c r="G112" s="18"/>
      <c r="H112" s="2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5:19" ht="15.75" customHeight="1">
      <c r="E113" s="18"/>
      <c r="F113" s="18"/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5:19" ht="15.75" customHeight="1">
      <c r="E114" s="18"/>
      <c r="F114" s="18"/>
      <c r="G114" s="18"/>
      <c r="H114" s="2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5:19" ht="15.75" customHeight="1">
      <c r="E115" s="18"/>
      <c r="F115" s="18"/>
      <c r="G115" s="18"/>
      <c r="H115" s="2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5:19" ht="15.75" customHeight="1">
      <c r="E116" s="18"/>
      <c r="F116" s="18"/>
      <c r="G116" s="18"/>
      <c r="H116" s="2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5:19" ht="15.75" customHeight="1">
      <c r="E117" s="18"/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5:19" ht="15.75" customHeight="1">
      <c r="E118" s="18"/>
      <c r="F118" s="18"/>
      <c r="G118" s="18"/>
      <c r="H118" s="2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5:19" ht="15.75" customHeight="1">
      <c r="E119" s="18"/>
      <c r="F119" s="18"/>
      <c r="G119" s="18"/>
      <c r="H119" s="2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5:19" ht="15.75" customHeight="1"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5:19" ht="15.75" customHeight="1">
      <c r="E121" s="18"/>
      <c r="F121" s="18"/>
      <c r="G121" s="18"/>
      <c r="H121" s="2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5:19" ht="15.75" customHeight="1">
      <c r="E122" s="18"/>
      <c r="F122" s="18"/>
      <c r="G122" s="18"/>
      <c r="H122" s="2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5:19" ht="15.75" customHeight="1">
      <c r="E123" s="18"/>
      <c r="F123" s="18"/>
      <c r="G123" s="18"/>
      <c r="H123" s="2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E126" s="18"/>
      <c r="F126" s="18"/>
      <c r="G126" s="18"/>
      <c r="H126" s="2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/>
      <c r="H127" s="2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/>
      <c r="H128" s="2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5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5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5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5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5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5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5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5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5:19" ht="15.75" customHeight="1">
      <c r="E137" s="18"/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5:19" ht="15.75" customHeight="1">
      <c r="E138" s="18"/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5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5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5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5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5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5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1" t="s">
        <v>167</v>
      </c>
      <c r="B600" s="52"/>
      <c r="C600" s="52"/>
      <c r="D600" s="53"/>
      <c r="E600" s="7"/>
      <c r="F600" s="51" t="str">
        <f>A600</f>
        <v>PPB31405_deglyc_2K_2pQ_2GSH_1Cys_8Ox</v>
      </c>
      <c r="G600" s="53"/>
      <c r="H600" s="7"/>
      <c r="I600" s="13" t="s">
        <v>168</v>
      </c>
      <c r="J600" s="3">
        <f>SUM(H2:H592)</f>
        <v>1630611933.2734375</v>
      </c>
    </row>
    <row r="601" spans="1:19">
      <c r="A601" s="54" t="s">
        <v>2</v>
      </c>
      <c r="B601" s="52"/>
      <c r="C601" s="52"/>
      <c r="D601" s="53"/>
      <c r="E601" s="7"/>
      <c r="F601" s="6" t="s">
        <v>169</v>
      </c>
      <c r="G601" s="8" t="s">
        <v>169</v>
      </c>
      <c r="H601" s="24"/>
      <c r="I601" s="14" t="s">
        <v>170</v>
      </c>
      <c r="J601" s="4">
        <f>100-(SUMIF(C2:C592,"",H2:H592)/J600*100)</f>
        <v>91.123178056972733</v>
      </c>
    </row>
    <row r="602" spans="1:19">
      <c r="A602" s="27">
        <v>0</v>
      </c>
      <c r="B602" s="27">
        <v>1</v>
      </c>
      <c r="C602" s="27">
        <v>2</v>
      </c>
      <c r="D602" s="27">
        <v>3</v>
      </c>
      <c r="E602" s="24"/>
      <c r="F602" s="11" t="e">
        <f>(A603*A602+B603*B602+C603*C602+D603*D602)/(A603+B603+C603+D603)</f>
        <v>#DIV/0!</v>
      </c>
      <c r="G602" s="34">
        <f>IFERROR(F602,0)</f>
        <v>0</v>
      </c>
      <c r="H602" s="32"/>
      <c r="I602" s="13" t="s">
        <v>171</v>
      </c>
      <c r="J602" s="5" t="e">
        <f>#REF!</f>
        <v>#REF!</v>
      </c>
    </row>
    <row r="603" spans="1:19">
      <c r="A603" s="2">
        <f>SUMIFS($H$2:$H$592,$A$2:$A$592,$A600,$B$2:$B$592,A602, $I$2:$I$592,"&gt;="&amp;$J$602,$G$2:$G$592,"&lt;="&amp;$J$603)</f>
        <v>0</v>
      </c>
      <c r="B603" s="2">
        <f>SUMIFS($H$2:$H$592,$A$2:$A$592,$A600,$B$2:$B$592,B602, $I$2:$I$592,"&gt;="&amp;$J$602,$G$2:$G$592,"&lt;="&amp;$J$603)</f>
        <v>0</v>
      </c>
      <c r="C603" s="2">
        <f>SUMIFS($H$2:$H$592,$A$2:$A$592,$A600,$B$2:$B$592,C602, $I$2:$I$592,"&gt;="&amp;$J$602,$G$2:$G$592,"&lt;="&amp;$J$603)</f>
        <v>0</v>
      </c>
      <c r="D603" s="2">
        <f>SUMIFS($H$2:$H$592,$A$2:$A$592,$A600,$B$2:$B$592,D602, $I$2:$I$592,"&gt;="&amp;$J$602,$G$2:$G$592,"&lt;="&amp;$J$603)</f>
        <v>0</v>
      </c>
      <c r="E603" s="9"/>
      <c r="F603" s="1">
        <f>SUM(A603:D603)</f>
        <v>0</v>
      </c>
      <c r="G603" s="1">
        <f>F603</f>
        <v>0</v>
      </c>
      <c r="H603" s="9"/>
      <c r="I603" s="13" t="s">
        <v>172</v>
      </c>
      <c r="J603" s="5" t="e">
        <f>#REF!</f>
        <v>#REF!</v>
      </c>
    </row>
    <row r="604" spans="1:19">
      <c r="C604" s="25"/>
      <c r="D604" s="25"/>
      <c r="I604" s="13" t="s">
        <v>173</v>
      </c>
      <c r="J604" s="3">
        <f>SUMIFS(H2:H592,I2:I592,"&gt;"&amp;J602,G2:G592,"&lt;"&amp;J603)</f>
        <v>0</v>
      </c>
    </row>
    <row r="605" spans="1:19">
      <c r="A605" s="51" t="s">
        <v>174</v>
      </c>
      <c r="B605" s="52"/>
      <c r="C605" s="52"/>
      <c r="D605" s="53"/>
      <c r="E605" s="7"/>
      <c r="F605" s="51" t="str">
        <f>A605</f>
        <v>PPB31405_deglyc_2K_2pQ_2GSH_1Cys_5Ox</v>
      </c>
      <c r="G605" s="53"/>
      <c r="H605" s="7"/>
      <c r="I605" s="14" t="s">
        <v>175</v>
      </c>
      <c r="J605" s="4" t="e">
        <f>$G$651/$J$604*100</f>
        <v>#DIV/0!</v>
      </c>
    </row>
    <row r="606" spans="1:19">
      <c r="A606" s="54" t="s">
        <v>2</v>
      </c>
      <c r="B606" s="52"/>
      <c r="C606" s="52"/>
      <c r="D606" s="53"/>
      <c r="E606" s="7"/>
      <c r="F606" s="6" t="s">
        <v>169</v>
      </c>
      <c r="G606" s="6" t="str">
        <f>F606</f>
        <v>Mean DAR w/ cut-off</v>
      </c>
      <c r="H606" s="24"/>
    </row>
    <row r="607" spans="1:19">
      <c r="A607" s="27">
        <v>0</v>
      </c>
      <c r="B607" s="27">
        <v>1</v>
      </c>
      <c r="C607" s="27">
        <v>2</v>
      </c>
      <c r="D607" s="27">
        <v>3</v>
      </c>
      <c r="E607" s="24"/>
      <c r="F607" s="12" t="e">
        <f>(A608*A607+B608*B607+C608*C607+D608*D607)/(A608+B608+C608+D608)</f>
        <v>#DIV/0!</v>
      </c>
      <c r="G607" s="34">
        <f>IFERROR(F607,0)</f>
        <v>0</v>
      </c>
      <c r="H607" s="32"/>
      <c r="I607" s="28" t="s">
        <v>169</v>
      </c>
      <c r="J607" s="35" t="e">
        <f>(G602*G603+G607*G608+G612*G613+G617*G618+G622*G623+G627*G628+G632*G633+G637*G638+G642*G643+G647*G648)/$G$651</f>
        <v>#DIV/0!</v>
      </c>
    </row>
    <row r="608" spans="1:19">
      <c r="A608" s="2">
        <f>SUMIFS($H$2:$H$592,$A$2:$A$592,$A605,$B$2:$B$592,A607, $I$2:$I$592,"&gt;="&amp;$J$602,$G$2:$G$592,"&lt;="&amp;$J$603)</f>
        <v>0</v>
      </c>
      <c r="B608" s="2">
        <f>SUMIFS($H$2:$H$592,$A$2:$A$592,$A605,$B$2:$B$592,B607, $I$2:$I$592,"&gt;="&amp;$J$602,$G$2:$G$592,"&lt;="&amp;$J$603)</f>
        <v>0</v>
      </c>
      <c r="C608" s="2">
        <f>SUMIFS($H$2:$H$592,$A$2:$A$592,$A605,$B$2:$B$592,C607, $I$2:$I$592,"&gt;="&amp;$J$602,$G$2:$G$592,"&lt;="&amp;$J$603)</f>
        <v>0</v>
      </c>
      <c r="D608" s="2">
        <f>SUMIFS($H$2:$H$592,$A$2:$A$592,$A605,$B$2:$B$592,D607, $I$2:$I$592,"&gt;="&amp;$J$602,$G$2:$G$592,"&lt;="&amp;$J$603)</f>
        <v>0</v>
      </c>
      <c r="E608" s="9"/>
      <c r="F608" s="1">
        <f>SUM(A608:D608)</f>
        <v>0</v>
      </c>
      <c r="G608" s="1">
        <f>F608</f>
        <v>0</v>
      </c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1" t="s">
        <v>176</v>
      </c>
      <c r="B610" s="52"/>
      <c r="C610" s="52"/>
      <c r="D610" s="53"/>
      <c r="E610" s="7"/>
      <c r="F610" s="51" t="str">
        <f>A610</f>
        <v>PPB31405_deglyc_2K_2pQ_2GSH_5Ox</v>
      </c>
      <c r="G610" s="53"/>
      <c r="H610" s="7"/>
    </row>
    <row r="611" spans="1:10">
      <c r="A611" s="54" t="s">
        <v>2</v>
      </c>
      <c r="B611" s="52"/>
      <c r="C611" s="52"/>
      <c r="D611" s="53"/>
      <c r="E611" s="7"/>
      <c r="F611" s="6" t="s">
        <v>169</v>
      </c>
      <c r="G611" s="6" t="str">
        <f>F611</f>
        <v>Mean DAR w/ cut-off</v>
      </c>
      <c r="H611" s="24"/>
      <c r="I611" s="48"/>
      <c r="J611" s="49"/>
    </row>
    <row r="612" spans="1:10">
      <c r="A612" s="27">
        <v>0</v>
      </c>
      <c r="B612" s="27">
        <v>1</v>
      </c>
      <c r="C612" s="27">
        <v>2</v>
      </c>
      <c r="D612" s="27">
        <v>3</v>
      </c>
      <c r="E612" s="24"/>
      <c r="F612" s="12" t="e">
        <f>(A613*A612+B613*B612+C613*C612+D613*D612)/(A613+B613+C613+D613)</f>
        <v>#DIV/0!</v>
      </c>
      <c r="G612" s="34">
        <f>IFERROR(F612,0)</f>
        <v>0</v>
      </c>
      <c r="H612" s="32"/>
      <c r="I612" s="24"/>
      <c r="J612" s="33"/>
    </row>
    <row r="613" spans="1:10">
      <c r="A613" s="2">
        <f>SUMIFS($H$2:$H$592,$A$2:$A$592,$A610,$B$2:$B$592,A612, $I$2:$I$592,"&gt;="&amp;$J$602,$G$2:$G$592,"&lt;="&amp;$J$603)</f>
        <v>0</v>
      </c>
      <c r="B613" s="2">
        <f>SUMIFS($H$2:$H$592,$A$2:$A$592,$A610,$B$2:$B$592,B612, $I$2:$I$592,"&gt;="&amp;$J$602,$G$2:$G$592,"&lt;="&amp;$J$603)</f>
        <v>0</v>
      </c>
      <c r="C613" s="2">
        <f>SUMIFS($H$2:$H$592,$A$2:$A$592,$A610,$B$2:$B$592,C612, $I$2:$I$592,"&gt;="&amp;$J$602,$G$2:$G$592,"&lt;="&amp;$J$603)</f>
        <v>0</v>
      </c>
      <c r="D613" s="2">
        <f>SUMIFS($H$2:$H$592,$A$2:$A$592,$A610,$B$2:$B$592,D612, $I$2:$I$592,"&gt;="&amp;$J$602,$G$2:$G$592,"&lt;="&amp;$J$603)</f>
        <v>0</v>
      </c>
      <c r="E613" s="9"/>
      <c r="F613" s="1">
        <f>SUM(A613:D613)</f>
        <v>0</v>
      </c>
      <c r="G613" s="1">
        <f>F613</f>
        <v>0</v>
      </c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1" t="s">
        <v>177</v>
      </c>
      <c r="B615" s="52"/>
      <c r="C615" s="52"/>
      <c r="D615" s="53"/>
      <c r="E615" s="7"/>
      <c r="F615" s="51" t="str">
        <f>A615</f>
        <v>PPB31405_deglyc_2K_2pQ_1GSH_2Ox</v>
      </c>
      <c r="G615" s="53"/>
      <c r="H615" s="7"/>
    </row>
    <row r="616" spans="1:10">
      <c r="A616" s="54" t="s">
        <v>2</v>
      </c>
      <c r="B616" s="52"/>
      <c r="C616" s="52"/>
      <c r="D616" s="53"/>
      <c r="E616" s="7"/>
      <c r="F616" s="6" t="s">
        <v>169</v>
      </c>
      <c r="G616" s="6" t="str">
        <f>F616</f>
        <v>Mean DAR w/ cut-off</v>
      </c>
      <c r="H616" s="24"/>
      <c r="I616" s="48"/>
      <c r="J616" s="49"/>
    </row>
    <row r="617" spans="1:10">
      <c r="A617" s="27">
        <v>0</v>
      </c>
      <c r="B617" s="27">
        <v>1</v>
      </c>
      <c r="C617" s="27">
        <v>2</v>
      </c>
      <c r="D617" s="27">
        <v>3</v>
      </c>
      <c r="E617" s="24"/>
      <c r="F617" s="12" t="e">
        <f>(A618*A617+B618*B617+C618*C617+D618*D617)/(A618+B618+C618+D618)</f>
        <v>#DIV/0!</v>
      </c>
      <c r="G617" s="34">
        <f>IFERROR(F617,0)</f>
        <v>0</v>
      </c>
      <c r="H617" s="32"/>
      <c r="I617" s="24"/>
      <c r="J617" s="33"/>
    </row>
    <row r="618" spans="1:10">
      <c r="A618" s="2">
        <f>SUMIFS($H$2:$H$592,$A$2:$A$592,$A615,$B$2:$B$592,A617, $I$2:$I$592,"&gt;="&amp;$J$602,$G$2:$G$592,"&lt;="&amp;$J$603)</f>
        <v>0</v>
      </c>
      <c r="B618" s="2">
        <f>SUMIFS($H$2:$H$592,$A$2:$A$592,$A615,$B$2:$B$592,B617, $I$2:$I$592,"&gt;="&amp;$J$602,$G$2:$G$592,"&lt;="&amp;$J$603)</f>
        <v>0</v>
      </c>
      <c r="C618" s="2">
        <f>SUMIFS($H$2:$H$592,$A$2:$A$592,$A615,$B$2:$B$592,C617, $I$2:$I$592,"&gt;="&amp;$J$602,$G$2:$G$592,"&lt;="&amp;$J$603)</f>
        <v>0</v>
      </c>
      <c r="D618" s="2">
        <f>SUMIFS($H$2:$H$592,$A$2:$A$592,$A615,$B$2:$B$592,D617, $I$2:$I$592,"&gt;="&amp;$J$602,$G$2:$G$592,"&lt;="&amp;$J$603)</f>
        <v>0</v>
      </c>
      <c r="E618" s="9"/>
      <c r="F618" s="1">
        <f>SUM(A618:D618)</f>
        <v>0</v>
      </c>
      <c r="G618" s="1">
        <f>F618</f>
        <v>0</v>
      </c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1" t="s">
        <v>178</v>
      </c>
      <c r="B620" s="52"/>
      <c r="C620" s="52"/>
      <c r="D620" s="53"/>
      <c r="E620" s="7"/>
      <c r="F620" s="51" t="str">
        <f>A620</f>
        <v>PPB31405_deglyc_2GK_2pQ</v>
      </c>
      <c r="G620" s="53"/>
      <c r="H620" s="7"/>
    </row>
    <row r="621" spans="1:10">
      <c r="A621" s="54" t="s">
        <v>2</v>
      </c>
      <c r="B621" s="52"/>
      <c r="C621" s="52"/>
      <c r="D621" s="53"/>
      <c r="E621" s="7"/>
      <c r="F621" s="6" t="s">
        <v>169</v>
      </c>
      <c r="G621" s="6" t="str">
        <f>F621</f>
        <v>Mean DAR w/ cut-off</v>
      </c>
      <c r="H621" s="24"/>
      <c r="I621" s="48"/>
      <c r="J621" s="49"/>
    </row>
    <row r="622" spans="1:10">
      <c r="A622" s="27">
        <v>0</v>
      </c>
      <c r="B622" s="27">
        <v>1</v>
      </c>
      <c r="C622" s="27">
        <v>2</v>
      </c>
      <c r="D622" s="27">
        <v>3</v>
      </c>
      <c r="E622" s="24"/>
      <c r="F622" s="12" t="e">
        <f>(A623*A622+B623*B622+C623*C622+D623*D622)/(A623+B623+C623+D623)</f>
        <v>#DIV/0!</v>
      </c>
      <c r="G622" s="34">
        <f>IFERROR(F622,0)</f>
        <v>0</v>
      </c>
      <c r="H622" s="32"/>
      <c r="I622" s="24"/>
      <c r="J622" s="33"/>
    </row>
    <row r="623" spans="1:10">
      <c r="A623" s="2">
        <f>SUMIFS($H$2:$H$592,$A$2:$A$592,$A620,$B$2:$B$592,A622, $I$2:$I$592,"&gt;="&amp;$J$602,$G$2:$G$592,"&lt;="&amp;$J$603)</f>
        <v>0</v>
      </c>
      <c r="B623" s="2">
        <f>SUMIFS($H$2:$H$592,$A$2:$A$592,$A620,$B$2:$B$592,B622, $I$2:$I$592,"&gt;="&amp;$J$602,$G$2:$G$592,"&lt;="&amp;$J$603)</f>
        <v>0</v>
      </c>
      <c r="C623" s="2">
        <f>SUMIFS($H$2:$H$592,$A$2:$A$592,$A620,$B$2:$B$592,C622, $I$2:$I$592,"&gt;="&amp;$J$602,$G$2:$G$592,"&lt;="&amp;$J$603)</f>
        <v>0</v>
      </c>
      <c r="D623" s="2">
        <f>SUMIFS($H$2:$H$592,$A$2:$A$592,$A620,$B$2:$B$592,D622, $I$2:$I$592,"&gt;="&amp;$J$602,$G$2:$G$592,"&lt;="&amp;$J$603)</f>
        <v>0</v>
      </c>
      <c r="E623" s="9"/>
      <c r="F623" s="1">
        <f>SUM(A623:D623)</f>
        <v>0</v>
      </c>
      <c r="G623" s="1">
        <f>F623</f>
        <v>0</v>
      </c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1" t="s">
        <v>179</v>
      </c>
      <c r="B625" s="52"/>
      <c r="C625" s="52"/>
      <c r="D625" s="53"/>
      <c r="E625" s="7"/>
      <c r="F625" s="51" t="str">
        <f>A625</f>
        <v>PPB31405_deglyc_1K1GK_2pQ</v>
      </c>
      <c r="G625" s="53"/>
      <c r="H625" s="7"/>
    </row>
    <row r="626" spans="1:10">
      <c r="A626" s="54" t="s">
        <v>2</v>
      </c>
      <c r="B626" s="52"/>
      <c r="C626" s="52"/>
      <c r="D626" s="53"/>
      <c r="E626" s="7"/>
      <c r="F626" s="6" t="s">
        <v>169</v>
      </c>
      <c r="G626" s="6" t="str">
        <f>F626</f>
        <v>Mean DAR w/ cut-off</v>
      </c>
      <c r="H626" s="24"/>
      <c r="I626" s="48"/>
      <c r="J626" s="49"/>
    </row>
    <row r="627" spans="1:10">
      <c r="A627" s="27">
        <v>0</v>
      </c>
      <c r="B627" s="27">
        <v>1</v>
      </c>
      <c r="C627" s="27">
        <v>2</v>
      </c>
      <c r="D627" s="27">
        <v>3</v>
      </c>
      <c r="E627" s="24"/>
      <c r="F627" s="12" t="e">
        <f>(A628*A627+B628*B627+C628*C627+D628*D627)/(A628+B628+C628+D628)</f>
        <v>#DIV/0!</v>
      </c>
      <c r="G627" s="34">
        <f>IFERROR(F627,0)</f>
        <v>0</v>
      </c>
      <c r="H627" s="32"/>
      <c r="I627" s="24"/>
      <c r="J627" s="33"/>
    </row>
    <row r="628" spans="1:10">
      <c r="A628" s="2">
        <f>SUMIFS($H$2:$H$592,$A$2:$A$592,$A625,$B$2:$B$592,A627, $I$2:$I$592,"&gt;="&amp;$J$602,$G$2:$G$592,"&lt;="&amp;$J$603)</f>
        <v>0</v>
      </c>
      <c r="B628" s="2">
        <f>SUMIFS($H$2:$H$592,$A$2:$A$592,$A625,$B$2:$B$592,B627, $I$2:$I$592,"&gt;="&amp;$J$602,$G$2:$G$592,"&lt;="&amp;$J$603)</f>
        <v>0</v>
      </c>
      <c r="C628" s="2">
        <f>SUMIFS($H$2:$H$592,$A$2:$A$592,$A625,$B$2:$B$592,C627, $I$2:$I$592,"&gt;="&amp;$J$602,$G$2:$G$592,"&lt;="&amp;$J$603)</f>
        <v>0</v>
      </c>
      <c r="D628" s="2">
        <f>SUMIFS($H$2:$H$592,$A$2:$A$592,$A625,$B$2:$B$592,D627, $I$2:$I$592,"&gt;="&amp;$J$602,$G$2:$G$592,"&lt;="&amp;$J$603)</f>
        <v>0</v>
      </c>
      <c r="E628" s="9"/>
      <c r="F628" s="1">
        <f>SUM(A628:D628)</f>
        <v>0</v>
      </c>
      <c r="G628" s="1">
        <f>F628</f>
        <v>0</v>
      </c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1" t="s">
        <v>180</v>
      </c>
      <c r="B630" s="52"/>
      <c r="C630" s="52"/>
      <c r="D630" s="53"/>
      <c r="E630" s="7"/>
      <c r="F630" s="51" t="str">
        <f>A630</f>
        <v>PPB31405_deglyc_1GK</v>
      </c>
      <c r="G630" s="53"/>
      <c r="H630" s="7"/>
    </row>
    <row r="631" spans="1:10">
      <c r="A631" s="54" t="s">
        <v>2</v>
      </c>
      <c r="B631" s="52"/>
      <c r="C631" s="52"/>
      <c r="D631" s="53"/>
      <c r="E631" s="7"/>
      <c r="F631" s="6" t="s">
        <v>169</v>
      </c>
      <c r="G631" s="6" t="str">
        <f>F631</f>
        <v>Mean DAR w/ cut-off</v>
      </c>
      <c r="H631" s="24"/>
      <c r="I631" s="48"/>
      <c r="J631" s="49"/>
    </row>
    <row r="632" spans="1:10">
      <c r="A632" s="27">
        <v>0</v>
      </c>
      <c r="B632" s="27">
        <v>1</v>
      </c>
      <c r="C632" s="27">
        <v>2</v>
      </c>
      <c r="D632" s="27">
        <v>3</v>
      </c>
      <c r="E632" s="24"/>
      <c r="F632" s="12" t="e">
        <f>(A633*A632+B633*B632+C633*C632+D633*D632)/(A633+B633+C633+D633)</f>
        <v>#DIV/0!</v>
      </c>
      <c r="G632" s="34">
        <f>IFERROR(F632,0)</f>
        <v>0</v>
      </c>
      <c r="H632" s="32"/>
      <c r="I632" s="24"/>
      <c r="J632" s="33"/>
    </row>
    <row r="633" spans="1:10">
      <c r="A633" s="2">
        <f>SUMIFS($H$2:$H$592,$A$2:$A$592,$A630,$B$2:$B$592,A632, $I$2:$I$592,"&gt;="&amp;$J$602,$G$2:$G$592,"&lt;="&amp;$J$603)</f>
        <v>0</v>
      </c>
      <c r="B633" s="2">
        <f>SUMIFS($H$2:$H$592,$A$2:$A$592,$A630,$B$2:$B$592,B632, $I$2:$I$592,"&gt;="&amp;$J$602,$G$2:$G$592,"&lt;="&amp;$J$603)</f>
        <v>0</v>
      </c>
      <c r="C633" s="2">
        <f>SUMIFS($H$2:$H$592,$A$2:$A$592,$A630,$B$2:$B$592,C632, $I$2:$I$592,"&gt;="&amp;$J$602,$G$2:$G$592,"&lt;="&amp;$J$603)</f>
        <v>0</v>
      </c>
      <c r="D633" s="2">
        <f>SUMIFS($H$2:$H$592,$A$2:$A$592,$A630,$B$2:$B$592,D632, $I$2:$I$592,"&gt;="&amp;$J$602,$G$2:$G$592,"&lt;="&amp;$J$603)</f>
        <v>0</v>
      </c>
      <c r="E633" s="9"/>
      <c r="F633" s="1">
        <f>SUM(A633:D633)</f>
        <v>0</v>
      </c>
      <c r="G633" s="1">
        <f>F633</f>
        <v>0</v>
      </c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1" t="s">
        <v>181</v>
      </c>
      <c r="B635" s="52"/>
      <c r="C635" s="52"/>
      <c r="D635" s="53"/>
      <c r="E635" s="7"/>
      <c r="F635" s="51" t="str">
        <f>A635</f>
        <v>PPB31405_deglyc_1K_2pQ</v>
      </c>
      <c r="G635" s="53"/>
      <c r="H635" s="7"/>
    </row>
    <row r="636" spans="1:10">
      <c r="A636" s="54" t="s">
        <v>2</v>
      </c>
      <c r="B636" s="52"/>
      <c r="C636" s="52"/>
      <c r="D636" s="53"/>
      <c r="E636" s="7"/>
      <c r="F636" s="6" t="s">
        <v>169</v>
      </c>
      <c r="G636" s="6" t="str">
        <f>F636</f>
        <v>Mean DAR w/ cut-off</v>
      </c>
      <c r="H636" s="24"/>
      <c r="I636" s="48"/>
      <c r="J636" s="49"/>
    </row>
    <row r="637" spans="1:10">
      <c r="A637" s="27">
        <v>0</v>
      </c>
      <c r="B637" s="27">
        <v>1</v>
      </c>
      <c r="C637" s="27">
        <v>2</v>
      </c>
      <c r="D637" s="27">
        <v>3</v>
      </c>
      <c r="E637" s="24"/>
      <c r="F637" s="12" t="e">
        <f>(A638*A637+B638*B637+C638*C637+D638*D637)/(A638+B638+C638+D638)</f>
        <v>#DIV/0!</v>
      </c>
      <c r="G637" s="34">
        <f>IFERROR(F637,0)</f>
        <v>0</v>
      </c>
      <c r="H637" s="32"/>
      <c r="I637" s="24"/>
      <c r="J637" s="33"/>
    </row>
    <row r="638" spans="1:10">
      <c r="A638" s="2">
        <f>SUMIFS($H$2:$H$592,$A$2:$A$592,$A635,$B$2:$B$592,A637, $I$2:$I$592,"&gt;="&amp;$J$602,$G$2:$G$592,"&lt;="&amp;$J$603)</f>
        <v>0</v>
      </c>
      <c r="B638" s="2">
        <f>SUMIFS($H$2:$H$592,$A$2:$A$592,$A635,$B$2:$B$592,B637, $I$2:$I$592,"&gt;="&amp;$J$602,$G$2:$G$592,"&lt;="&amp;$J$603)</f>
        <v>0</v>
      </c>
      <c r="C638" s="2">
        <f>SUMIFS($H$2:$H$592,$A$2:$A$592,$A635,$B$2:$B$592,C637, $I$2:$I$592,"&gt;="&amp;$J$602,$G$2:$G$592,"&lt;="&amp;$J$603)</f>
        <v>0</v>
      </c>
      <c r="D638" s="2">
        <f>SUMIFS($H$2:$H$592,$A$2:$A$592,$A635,$B$2:$B$592,D637, $I$2:$I$592,"&gt;="&amp;$J$602,$G$2:$G$592,"&lt;="&amp;$J$603)</f>
        <v>0</v>
      </c>
      <c r="E638" s="9"/>
      <c r="F638" s="1">
        <f>SUM(A638:D638)</f>
        <v>0</v>
      </c>
      <c r="G638" s="1">
        <f>F638</f>
        <v>0</v>
      </c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1" t="s">
        <v>182</v>
      </c>
      <c r="B640" s="52"/>
      <c r="C640" s="52"/>
      <c r="D640" s="53"/>
      <c r="E640" s="7"/>
      <c r="F640" s="51" t="str">
        <f>A640</f>
        <v>PPB31405_deglyc_2K_2pQ</v>
      </c>
      <c r="G640" s="53"/>
      <c r="H640" s="7"/>
    </row>
    <row r="641" spans="1:10">
      <c r="A641" s="54" t="s">
        <v>2</v>
      </c>
      <c r="B641" s="52"/>
      <c r="C641" s="52"/>
      <c r="D641" s="53"/>
      <c r="E641" s="7"/>
      <c r="F641" s="6" t="s">
        <v>169</v>
      </c>
      <c r="G641" s="6" t="str">
        <f>F641</f>
        <v>Mean DAR w/ cut-off</v>
      </c>
      <c r="H641" s="24"/>
      <c r="I641" s="48"/>
      <c r="J641" s="49"/>
    </row>
    <row r="642" spans="1:10">
      <c r="A642" s="27">
        <v>0</v>
      </c>
      <c r="B642" s="27">
        <v>1</v>
      </c>
      <c r="C642" s="27">
        <v>2</v>
      </c>
      <c r="D642" s="27">
        <v>3</v>
      </c>
      <c r="E642" s="24"/>
      <c r="F642" s="12" t="e">
        <f>(A643*A642+B643*B642+C643*C642+D643*D642)/(A643+B643+C643+D643)</f>
        <v>#DIV/0!</v>
      </c>
      <c r="G642" s="34">
        <f>IFERROR(F642,0)</f>
        <v>0</v>
      </c>
      <c r="H642" s="32"/>
      <c r="I642" s="24"/>
      <c r="J642" s="33"/>
    </row>
    <row r="643" spans="1:10">
      <c r="A643" s="2">
        <f>SUMIFS($H$2:$H$592,$A$2:$A$592,$A640,$B$2:$B$592,A642, $I$2:$I$592,"&gt;="&amp;$J$602,$G$2:$G$592,"&lt;="&amp;$J$603)</f>
        <v>0</v>
      </c>
      <c r="B643" s="2">
        <f>SUMIFS($H$2:$H$592,$A$2:$A$592,$A640,$B$2:$B$592,B642, $I$2:$I$592,"&gt;="&amp;$J$602,$G$2:$G$592,"&lt;="&amp;$J$603)</f>
        <v>0</v>
      </c>
      <c r="C643" s="2">
        <f>SUMIFS($H$2:$H$592,$A$2:$A$592,$A640,$B$2:$B$592,C642, $I$2:$I$592,"&gt;="&amp;$J$602,$G$2:$G$592,"&lt;="&amp;$J$603)</f>
        <v>0</v>
      </c>
      <c r="D643" s="2">
        <f>SUMIFS($H$2:$H$592,$A$2:$A$592,$A640,$B$2:$B$592,D642, $I$2:$I$592,"&gt;="&amp;$J$602,$G$2:$G$592,"&lt;="&amp;$J$603)</f>
        <v>0</v>
      </c>
      <c r="E643" s="9"/>
      <c r="F643" s="1">
        <f>SUM(A643:D643)</f>
        <v>0</v>
      </c>
      <c r="G643" s="1">
        <f>F643</f>
        <v>0</v>
      </c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1" t="s">
        <v>183</v>
      </c>
      <c r="B645" s="52"/>
      <c r="C645" s="52"/>
      <c r="D645" s="53"/>
      <c r="E645" s="7"/>
      <c r="F645" s="51" t="str">
        <f>A645</f>
        <v>PPB31405_deglyc_2pQ</v>
      </c>
      <c r="G645" s="53"/>
      <c r="H645" s="7"/>
    </row>
    <row r="646" spans="1:10">
      <c r="A646" s="54" t="s">
        <v>2</v>
      </c>
      <c r="B646" s="52"/>
      <c r="C646" s="52"/>
      <c r="D646" s="53"/>
      <c r="E646" s="7"/>
      <c r="F646" s="6" t="s">
        <v>169</v>
      </c>
      <c r="G646" s="6" t="str">
        <f>F646</f>
        <v>Mean DAR w/ cut-off</v>
      </c>
      <c r="H646" s="24"/>
      <c r="I646" s="48"/>
      <c r="J646" s="49"/>
    </row>
    <row r="647" spans="1:10">
      <c r="A647" s="27">
        <v>0</v>
      </c>
      <c r="B647" s="27">
        <v>1</v>
      </c>
      <c r="C647" s="27">
        <v>2</v>
      </c>
      <c r="D647" s="27">
        <v>3</v>
      </c>
      <c r="E647" s="24"/>
      <c r="F647" s="12" t="e">
        <f>(A648*A647+B648*B647+C648*C647+D648*D647)/(A648+B648+C648+D648)</f>
        <v>#DIV/0!</v>
      </c>
      <c r="G647" s="34">
        <f>IFERROR(F647,0)</f>
        <v>0</v>
      </c>
      <c r="H647" s="32"/>
      <c r="I647" s="24"/>
      <c r="J647" s="33"/>
    </row>
    <row r="648" spans="1:10">
      <c r="A648" s="2">
        <f>SUMIFS($H$2:$H$592,$A$2:$A$592,$A645,$B$2:$B$592,A647, $I$2:$I$592,"&gt;="&amp;$J$602,$G$2:$G$592,"&lt;="&amp;$J$603)</f>
        <v>0</v>
      </c>
      <c r="B648" s="2">
        <f>SUMIFS($H$2:$H$592,$A$2:$A$592,$A645,$B$2:$B$592,B647, $I$2:$I$592,"&gt;="&amp;$J$602,$G$2:$G$592,"&lt;="&amp;$J$603)</f>
        <v>0</v>
      </c>
      <c r="C648" s="2">
        <f>SUMIFS($H$2:$H$592,$A$2:$A$592,$A645,$B$2:$B$592,C647, $I$2:$I$592,"&gt;="&amp;$J$602,$G$2:$G$592,"&lt;="&amp;$J$603)</f>
        <v>0</v>
      </c>
      <c r="D648" s="2">
        <f>SUMIFS($H$2:$H$592,$A$2:$A$592,$A645,$B$2:$B$592,D647, $I$2:$I$592,"&gt;="&amp;$J$602,$G$2:$G$592,"&lt;="&amp;$J$603)</f>
        <v>0</v>
      </c>
      <c r="E648" s="9"/>
      <c r="F648" s="1">
        <f>SUM(A648:D648)</f>
        <v>0</v>
      </c>
      <c r="G648" s="1">
        <f>F648</f>
        <v>0</v>
      </c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1">
        <f>C603+C608+C613</f>
        <v>0</v>
      </c>
      <c r="G651" s="1">
        <f>G603+G608+G613+G618+G623+G628+G633+G638+G643+G648</f>
        <v>0</v>
      </c>
    </row>
  </sheetData>
  <autoFilter ref="A1:S471" xr:uid="{00000000-0009-0000-0000-000005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F645:G645"/>
    <mergeCell ref="I646:J646"/>
    <mergeCell ref="A620:D620"/>
    <mergeCell ref="I631:J631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S651"/>
  <sheetViews>
    <sheetView zoomScale="85" zoomScaleNormal="85" workbookViewId="0">
      <pane ySplit="1" topLeftCell="A2" activePane="bottomLeft" state="frozen"/>
      <selection pane="bottomLeft" activeCell="A2" sqref="A2:XFD15"/>
    </sheetView>
  </sheetViews>
  <sheetFormatPr defaultColWidth="9.140625" defaultRowHeight="15"/>
  <cols>
    <col min="1" max="1" width="36.5703125" style="26" bestFit="1" customWidth="1"/>
    <col min="2" max="2" width="10.85546875" style="25" bestFit="1" customWidth="1"/>
    <col min="3" max="3" width="36.5703125" style="26" bestFit="1" customWidth="1"/>
    <col min="4" max="4" width="89.5703125" style="26" bestFit="1" customWidth="1"/>
    <col min="5" max="5" width="33.42578125" style="26" bestFit="1" customWidth="1"/>
    <col min="6" max="6" width="29.5703125" style="26" bestFit="1" customWidth="1"/>
    <col min="7" max="7" width="29.1406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55" customFormat="1" ht="15.75" customHeight="1">
      <c r="A2" s="55" t="str">
        <f t="shared" ref="A2:A25" si="0">C2</f>
        <v>Trastuzumab ADC_2K_loss_deglyc</v>
      </c>
      <c r="B2" s="56">
        <v>1</v>
      </c>
      <c r="C2" s="55" t="s">
        <v>19</v>
      </c>
      <c r="D2" s="55" t="s">
        <v>269</v>
      </c>
      <c r="E2" s="57">
        <v>147207.471677958</v>
      </c>
      <c r="F2" s="57">
        <v>147217.42604399999</v>
      </c>
      <c r="G2" s="58">
        <f>ABS(E2-F2)/F2*1000000</f>
        <v>67.61676460103665</v>
      </c>
      <c r="H2" s="59">
        <v>500530329.5</v>
      </c>
      <c r="I2" s="57">
        <v>100</v>
      </c>
      <c r="J2" s="57">
        <v>40.106531311035198</v>
      </c>
      <c r="K2" s="57">
        <v>124.39198402421199</v>
      </c>
      <c r="L2" s="60">
        <v>34</v>
      </c>
      <c r="M2" s="60" t="s">
        <v>270</v>
      </c>
      <c r="N2" s="60">
        <v>12</v>
      </c>
      <c r="O2" s="57">
        <v>0</v>
      </c>
      <c r="P2" s="60" t="s">
        <v>271</v>
      </c>
      <c r="Q2" s="61">
        <v>14.216360261066701</v>
      </c>
      <c r="R2" s="61">
        <v>16.8744408298667</v>
      </c>
      <c r="S2" s="62">
        <v>15.27</v>
      </c>
    </row>
    <row r="3" spans="1:19" s="55" customFormat="1" ht="15.75" customHeight="1">
      <c r="A3" s="55" t="str">
        <f t="shared" si="0"/>
        <v>Trastuzumab ADC_2K_loss_deglyc</v>
      </c>
      <c r="B3" s="56">
        <v>2</v>
      </c>
      <c r="C3" s="55" t="s">
        <v>19</v>
      </c>
      <c r="D3" s="55" t="s">
        <v>23</v>
      </c>
      <c r="E3" s="57">
        <v>147967.97788408099</v>
      </c>
      <c r="F3" s="57">
        <v>147961.428044</v>
      </c>
      <c r="G3" s="58">
        <f>ABS(E3-F3)/F3*1000000</f>
        <v>44.267213202623346</v>
      </c>
      <c r="H3" s="59">
        <v>167587455.0625</v>
      </c>
      <c r="I3" s="57">
        <v>33.481977568809199</v>
      </c>
      <c r="J3" s="57">
        <v>13.428459817188299</v>
      </c>
      <c r="K3" s="57">
        <v>124.473919487797</v>
      </c>
      <c r="L3" s="60">
        <v>45</v>
      </c>
      <c r="M3" s="60" t="s">
        <v>272</v>
      </c>
      <c r="N3" s="60">
        <v>12</v>
      </c>
      <c r="O3" s="57">
        <v>760.50620612382795</v>
      </c>
      <c r="P3" s="60" t="s">
        <v>271</v>
      </c>
      <c r="Q3" s="61">
        <v>14.216360261066701</v>
      </c>
      <c r="R3" s="61">
        <v>16.8744408298667</v>
      </c>
      <c r="S3" s="62">
        <v>15.27</v>
      </c>
    </row>
    <row r="4" spans="1:19" s="55" customFormat="1" ht="15.75" customHeight="1">
      <c r="A4" s="55" t="str">
        <f t="shared" si="0"/>
        <v>Trastuzumab ADC_2K_loss_deglyc_A2G0F</v>
      </c>
      <c r="B4" s="56">
        <v>1</v>
      </c>
      <c r="C4" s="55" t="s">
        <v>25</v>
      </c>
      <c r="D4" s="55" t="s">
        <v>20</v>
      </c>
      <c r="E4" s="57">
        <v>148651.997258752</v>
      </c>
      <c r="F4" s="57">
        <v>148643.746044</v>
      </c>
      <c r="G4" s="58">
        <f>ABS(E4-F4)/F4*1000000</f>
        <v>55.510002752220814</v>
      </c>
      <c r="H4" s="59">
        <v>108818937.5</v>
      </c>
      <c r="I4" s="57">
        <v>21.740727876352398</v>
      </c>
      <c r="J4" s="57">
        <v>8.7194518329762403</v>
      </c>
      <c r="K4" s="57">
        <v>74.135631157549099</v>
      </c>
      <c r="L4" s="60">
        <v>24</v>
      </c>
      <c r="M4" s="60" t="s">
        <v>273</v>
      </c>
      <c r="N4" s="60">
        <v>12</v>
      </c>
      <c r="O4" s="57">
        <v>1444.52558079452</v>
      </c>
      <c r="P4" s="60" t="s">
        <v>271</v>
      </c>
      <c r="Q4" s="61">
        <v>14.216360261066701</v>
      </c>
      <c r="R4" s="61">
        <v>16.8744408298667</v>
      </c>
      <c r="S4" s="62">
        <v>15.27</v>
      </c>
    </row>
    <row r="5" spans="1:19" s="55" customFormat="1" ht="15.75" customHeight="1">
      <c r="A5" s="55" t="str">
        <f t="shared" si="0"/>
        <v>Trastuzumab ADC_2K_loss_deglyc</v>
      </c>
      <c r="B5" s="56">
        <v>0</v>
      </c>
      <c r="C5" s="55" t="s">
        <v>19</v>
      </c>
      <c r="D5" s="55" t="s">
        <v>27</v>
      </c>
      <c r="E5" s="57">
        <v>146444.68140398199</v>
      </c>
      <c r="F5" s="57">
        <v>146437.42404400001</v>
      </c>
      <c r="G5" s="58">
        <v>49.557006185345102</v>
      </c>
      <c r="H5" s="59">
        <v>106750211.625</v>
      </c>
      <c r="I5" s="57">
        <v>21.327420692285301</v>
      </c>
      <c r="J5" s="57">
        <v>8.5536886577876103</v>
      </c>
      <c r="K5" s="57">
        <v>92.338515998585194</v>
      </c>
      <c r="L5" s="60">
        <v>23</v>
      </c>
      <c r="M5" s="60" t="s">
        <v>274</v>
      </c>
      <c r="N5" s="60">
        <v>12</v>
      </c>
      <c r="O5" s="57">
        <v>-762.79027397526102</v>
      </c>
      <c r="P5" s="60" t="s">
        <v>271</v>
      </c>
      <c r="Q5" s="61">
        <v>14.216360261066701</v>
      </c>
      <c r="R5" s="61">
        <v>16.8744408298667</v>
      </c>
      <c r="S5" s="62">
        <v>15.27</v>
      </c>
    </row>
    <row r="6" spans="1:19" s="55" customFormat="1" ht="15.75" customHeight="1">
      <c r="A6" s="55" t="str">
        <f t="shared" si="0"/>
        <v>Trastuzumab ADC_2K_loss_deglyc_A2G1F</v>
      </c>
      <c r="B6" s="56">
        <v>1</v>
      </c>
      <c r="C6" s="55" t="s">
        <v>29</v>
      </c>
      <c r="D6" s="55" t="s">
        <v>20</v>
      </c>
      <c r="E6" s="57">
        <v>148812.45680046201</v>
      </c>
      <c r="F6" s="57">
        <v>148806.92054399999</v>
      </c>
      <c r="G6" s="58">
        <f>ABS(E6-F6)/F6*1000000</f>
        <v>37.204294274596293</v>
      </c>
      <c r="H6" s="59">
        <v>97998749.0625</v>
      </c>
      <c r="I6" s="57">
        <v>19.578982835376099</v>
      </c>
      <c r="J6" s="57">
        <v>7.8524508812523104</v>
      </c>
      <c r="K6" s="57">
        <v>73.887164417995095</v>
      </c>
      <c r="L6" s="60">
        <v>22</v>
      </c>
      <c r="M6" s="60" t="s">
        <v>275</v>
      </c>
      <c r="N6" s="60">
        <v>11</v>
      </c>
      <c r="O6" s="57">
        <v>1604.9851225043501</v>
      </c>
      <c r="P6" s="60" t="s">
        <v>271</v>
      </c>
      <c r="Q6" s="61">
        <v>14.216360261066701</v>
      </c>
      <c r="R6" s="61">
        <v>16.8744408298667</v>
      </c>
      <c r="S6" s="62">
        <v>15.27</v>
      </c>
    </row>
    <row r="7" spans="1:19" s="55" customFormat="1" ht="15.75" customHeight="1">
      <c r="A7" s="55">
        <f t="shared" si="0"/>
        <v>0</v>
      </c>
      <c r="B7" s="56"/>
      <c r="E7" s="57">
        <v>147272.752400831</v>
      </c>
      <c r="F7" s="57">
        <v>0</v>
      </c>
      <c r="G7" s="58">
        <v>0</v>
      </c>
      <c r="H7" s="59">
        <v>53251143.125</v>
      </c>
      <c r="I7" s="57">
        <v>10.638944545625099</v>
      </c>
      <c r="J7" s="57">
        <v>4.2669116253548198</v>
      </c>
      <c r="K7" s="57">
        <v>72.381506437423099</v>
      </c>
      <c r="L7" s="60">
        <v>20</v>
      </c>
      <c r="M7" s="60" t="s">
        <v>276</v>
      </c>
      <c r="N7" s="60">
        <v>9</v>
      </c>
      <c r="O7" s="57">
        <v>65.280722873721999</v>
      </c>
      <c r="P7" s="60" t="s">
        <v>277</v>
      </c>
      <c r="Q7" s="61">
        <v>14.3870668648</v>
      </c>
      <c r="R7" s="61">
        <v>16.8744408298667</v>
      </c>
      <c r="S7" s="62">
        <v>15.27</v>
      </c>
    </row>
    <row r="8" spans="1:19" s="55" customFormat="1" ht="15.75" customHeight="1">
      <c r="A8" s="55">
        <f t="shared" si="0"/>
        <v>0</v>
      </c>
      <c r="B8" s="56"/>
      <c r="E8" s="57">
        <v>148044.82064250999</v>
      </c>
      <c r="F8" s="57">
        <v>0</v>
      </c>
      <c r="G8" s="58">
        <v>0</v>
      </c>
      <c r="H8" s="59">
        <v>41915629.5</v>
      </c>
      <c r="I8" s="57">
        <v>8.3742434084108108</v>
      </c>
      <c r="J8" s="57">
        <v>3.3586185546565801</v>
      </c>
      <c r="K8" s="57">
        <v>67.743730015865694</v>
      </c>
      <c r="L8" s="60">
        <v>20</v>
      </c>
      <c r="M8" s="60" t="s">
        <v>278</v>
      </c>
      <c r="N8" s="60">
        <v>9</v>
      </c>
      <c r="O8" s="57">
        <v>837.34896455219098</v>
      </c>
      <c r="P8" s="60" t="s">
        <v>279</v>
      </c>
      <c r="Q8" s="61">
        <v>14.3870668648</v>
      </c>
      <c r="R8" s="61">
        <v>16.5196524461333</v>
      </c>
      <c r="S8" s="62">
        <v>15.27</v>
      </c>
    </row>
    <row r="9" spans="1:19" s="55" customFormat="1" ht="15.75" customHeight="1">
      <c r="A9" s="55">
        <f t="shared" si="0"/>
        <v>0</v>
      </c>
      <c r="B9" s="56"/>
      <c r="E9" s="57">
        <v>149415.59014381899</v>
      </c>
      <c r="F9" s="57">
        <v>0</v>
      </c>
      <c r="G9" s="58">
        <v>0</v>
      </c>
      <c r="H9" s="59">
        <v>37950358.4375</v>
      </c>
      <c r="I9" s="57">
        <v>7.5820299343275401</v>
      </c>
      <c r="J9" s="57">
        <v>3.0408892096231299</v>
      </c>
      <c r="K9" s="57">
        <v>60.7341655090692</v>
      </c>
      <c r="L9" s="60">
        <v>18</v>
      </c>
      <c r="M9" s="60" t="s">
        <v>43</v>
      </c>
      <c r="N9" s="60">
        <v>8</v>
      </c>
      <c r="O9" s="57">
        <v>2208.11846586104</v>
      </c>
      <c r="P9" s="60" t="s">
        <v>279</v>
      </c>
      <c r="Q9" s="61">
        <v>14.3870668648</v>
      </c>
      <c r="R9" s="61">
        <v>16.5196524461333</v>
      </c>
      <c r="S9" s="62">
        <v>15.27</v>
      </c>
    </row>
    <row r="10" spans="1:19" s="55" customFormat="1" ht="15.75" customHeight="1">
      <c r="A10" s="55" t="str">
        <f t="shared" si="0"/>
        <v>Trastuzumab ADC_1K_loss_deglyc</v>
      </c>
      <c r="B10" s="56"/>
      <c r="C10" s="55" t="s">
        <v>61</v>
      </c>
      <c r="D10" s="55" t="s">
        <v>280</v>
      </c>
      <c r="E10" s="57">
        <v>147361.90580490199</v>
      </c>
      <c r="F10" s="57">
        <v>147363.629044</v>
      </c>
      <c r="G10" s="58">
        <v>11.6939251639592</v>
      </c>
      <c r="H10" s="59">
        <v>22732425.5</v>
      </c>
      <c r="I10" s="57">
        <v>4.5416678393270198</v>
      </c>
      <c r="J10" s="57">
        <v>1.82150543402291</v>
      </c>
      <c r="K10" s="57">
        <v>63.4769339112827</v>
      </c>
      <c r="L10" s="60">
        <v>18</v>
      </c>
      <c r="M10" s="60" t="s">
        <v>43</v>
      </c>
      <c r="N10" s="60">
        <v>5</v>
      </c>
      <c r="O10" s="57">
        <v>154.43412694410699</v>
      </c>
      <c r="P10" s="60" t="s">
        <v>279</v>
      </c>
      <c r="Q10" s="61">
        <v>14.3870668648</v>
      </c>
      <c r="R10" s="61">
        <v>16.5196524461333</v>
      </c>
      <c r="S10" s="62">
        <v>15.45</v>
      </c>
    </row>
    <row r="11" spans="1:19" s="55" customFormat="1" ht="15.75" customHeight="1">
      <c r="A11" s="55">
        <f t="shared" si="0"/>
        <v>0</v>
      </c>
      <c r="B11" s="56"/>
      <c r="E11" s="57">
        <v>149571.24280704299</v>
      </c>
      <c r="F11" s="57">
        <v>0</v>
      </c>
      <c r="G11" s="58">
        <v>0</v>
      </c>
      <c r="H11" s="59">
        <v>21986621.75</v>
      </c>
      <c r="I11" s="57">
        <v>4.3926652899950103</v>
      </c>
      <c r="J11" s="57">
        <v>1.76174567992082</v>
      </c>
      <c r="K11" s="57">
        <v>44.313352581059803</v>
      </c>
      <c r="L11" s="60">
        <v>14</v>
      </c>
      <c r="M11" s="60" t="s">
        <v>281</v>
      </c>
      <c r="N11" s="60">
        <v>6</v>
      </c>
      <c r="O11" s="57">
        <v>2363.77112908545</v>
      </c>
      <c r="P11" s="60" t="s">
        <v>282</v>
      </c>
      <c r="Q11" s="61">
        <v>14.563789436</v>
      </c>
      <c r="R11" s="61">
        <v>16.341385029333299</v>
      </c>
      <c r="S11" s="62">
        <v>15.27</v>
      </c>
    </row>
    <row r="12" spans="1:19" s="55" customFormat="1" ht="15.75" customHeight="1">
      <c r="A12" s="55">
        <f t="shared" si="0"/>
        <v>0</v>
      </c>
      <c r="B12" s="56"/>
      <c r="E12" s="57">
        <v>73220.022044394995</v>
      </c>
      <c r="F12" s="57">
        <v>0</v>
      </c>
      <c r="G12" s="58">
        <v>0</v>
      </c>
      <c r="H12" s="59">
        <v>17488630.859375</v>
      </c>
      <c r="I12" s="57">
        <v>3.4940202655523702</v>
      </c>
      <c r="J12" s="57">
        <v>1.40133033181768</v>
      </c>
      <c r="K12" s="57">
        <v>106.42506869626099</v>
      </c>
      <c r="L12" s="60">
        <v>28</v>
      </c>
      <c r="M12" s="60" t="s">
        <v>283</v>
      </c>
      <c r="N12" s="60">
        <v>7</v>
      </c>
      <c r="O12" s="57">
        <v>-73987.449633562501</v>
      </c>
      <c r="P12" s="60" t="s">
        <v>284</v>
      </c>
      <c r="Q12" s="61">
        <v>14.216360261066701</v>
      </c>
      <c r="R12" s="61">
        <v>16.702179857333299</v>
      </c>
      <c r="S12" s="62">
        <v>14.92</v>
      </c>
    </row>
    <row r="13" spans="1:19" s="55" customFormat="1" ht="15.75" customHeight="1">
      <c r="A13" s="55">
        <f t="shared" si="0"/>
        <v>0</v>
      </c>
      <c r="B13" s="56"/>
      <c r="E13" s="57">
        <v>150418.87486709401</v>
      </c>
      <c r="F13" s="57">
        <v>0</v>
      </c>
      <c r="G13" s="58">
        <v>0</v>
      </c>
      <c r="H13" s="59">
        <v>10670636.25</v>
      </c>
      <c r="I13" s="57">
        <v>2.1318660805310299</v>
      </c>
      <c r="J13" s="57">
        <v>0.85501753709751505</v>
      </c>
      <c r="K13" s="57">
        <v>42.5599336788705</v>
      </c>
      <c r="L13" s="60">
        <v>10</v>
      </c>
      <c r="M13" s="60" t="s">
        <v>285</v>
      </c>
      <c r="N13" s="60">
        <v>4</v>
      </c>
      <c r="O13" s="57">
        <v>3211.4031891363602</v>
      </c>
      <c r="P13" s="60" t="s">
        <v>286</v>
      </c>
      <c r="Q13" s="61">
        <v>14.3870668648</v>
      </c>
      <c r="R13" s="61">
        <v>15.8061640512</v>
      </c>
      <c r="S13" s="62">
        <v>15.27</v>
      </c>
    </row>
    <row r="14" spans="1:19" s="55" customFormat="1" ht="15.75" customHeight="1">
      <c r="A14" s="55" t="str">
        <f t="shared" si="0"/>
        <v>Trastuzumab ADC_1K_loss_deglyc</v>
      </c>
      <c r="B14" s="56"/>
      <c r="C14" s="55" t="s">
        <v>61</v>
      </c>
      <c r="D14" s="55" t="s">
        <v>287</v>
      </c>
      <c r="E14" s="57">
        <v>148126.23605636301</v>
      </c>
      <c r="F14" s="57">
        <v>148125.63104400001</v>
      </c>
      <c r="G14" s="58">
        <v>4.0844375669616504</v>
      </c>
      <c r="H14" s="59">
        <v>10122444.375</v>
      </c>
      <c r="I14" s="57">
        <v>2.0223438286970601</v>
      </c>
      <c r="J14" s="57">
        <v>0.81109196087317503</v>
      </c>
      <c r="K14" s="57">
        <v>49.159245925878899</v>
      </c>
      <c r="L14" s="60">
        <v>10</v>
      </c>
      <c r="M14" s="60" t="s">
        <v>288</v>
      </c>
      <c r="N14" s="60">
        <v>4</v>
      </c>
      <c r="O14" s="57">
        <v>918.76437840578706</v>
      </c>
      <c r="P14" s="60" t="s">
        <v>289</v>
      </c>
      <c r="Q14" s="61">
        <v>14.7395500797333</v>
      </c>
      <c r="R14" s="61">
        <v>16.1611013224</v>
      </c>
      <c r="S14" s="62">
        <v>15.27</v>
      </c>
    </row>
    <row r="15" spans="1:19" s="55" customFormat="1" ht="15.75" customHeight="1">
      <c r="A15" s="55" t="str">
        <f t="shared" si="0"/>
        <v>Trastuzumab ADC_2K_loss_deglyc</v>
      </c>
      <c r="B15" s="56"/>
      <c r="C15" s="55" t="s">
        <v>19</v>
      </c>
      <c r="D15" s="55" t="s">
        <v>290</v>
      </c>
      <c r="E15" s="57">
        <v>146513.850419177</v>
      </c>
      <c r="F15" s="57">
        <v>146511.58404399999</v>
      </c>
      <c r="G15" s="58">
        <v>15.468675282487901</v>
      </c>
      <c r="H15" s="59">
        <v>9990200.25</v>
      </c>
      <c r="I15" s="57">
        <v>1.9959229681239901</v>
      </c>
      <c r="J15" s="57">
        <v>0.80049547015478995</v>
      </c>
      <c r="K15" s="57">
        <v>46.750697179754297</v>
      </c>
      <c r="L15" s="60">
        <v>11</v>
      </c>
      <c r="M15" s="60" t="s">
        <v>291</v>
      </c>
      <c r="N15" s="60">
        <v>3</v>
      </c>
      <c r="O15" s="57">
        <v>-693.62125878088398</v>
      </c>
      <c r="P15" s="60" t="s">
        <v>292</v>
      </c>
      <c r="Q15" s="61">
        <v>14.7395500797333</v>
      </c>
      <c r="R15" s="61">
        <v>15.8061640512</v>
      </c>
      <c r="S15" s="62">
        <v>15.27</v>
      </c>
    </row>
    <row r="16" spans="1:19" ht="15.75" customHeight="1">
      <c r="A16">
        <f t="shared" si="0"/>
        <v>0</v>
      </c>
      <c r="E16" s="20">
        <v>73114.551486629396</v>
      </c>
      <c r="F16" s="20">
        <v>0</v>
      </c>
      <c r="G16" s="29">
        <v>0</v>
      </c>
      <c r="H16" s="21">
        <v>9655006.078125</v>
      </c>
      <c r="I16" s="20">
        <v>1.92895524991446</v>
      </c>
      <c r="J16" s="20">
        <v>0.77363704128280097</v>
      </c>
      <c r="K16" s="20">
        <v>50.1933287585043</v>
      </c>
      <c r="L16" s="22">
        <v>19</v>
      </c>
      <c r="M16" s="22" t="s">
        <v>293</v>
      </c>
      <c r="N16" s="22">
        <v>11</v>
      </c>
      <c r="O16" s="20">
        <v>-74092.920191328201</v>
      </c>
      <c r="P16" s="22" t="s">
        <v>284</v>
      </c>
      <c r="Q16" s="30">
        <v>14.216360261066701</v>
      </c>
      <c r="R16" s="30">
        <v>16.702179857333299</v>
      </c>
      <c r="S16" s="31">
        <v>15.27</v>
      </c>
    </row>
    <row r="17" spans="1:19" ht="15.75" customHeight="1">
      <c r="A17" t="str">
        <f t="shared" si="0"/>
        <v>Trastuzumab ADC_2K_loss_deglyc</v>
      </c>
      <c r="C17" t="s">
        <v>19</v>
      </c>
      <c r="D17" t="s">
        <v>41</v>
      </c>
      <c r="E17" s="20">
        <v>146336.38676158499</v>
      </c>
      <c r="F17" s="20">
        <v>146342.360044</v>
      </c>
      <c r="G17" s="29">
        <v>40.818845864537302</v>
      </c>
      <c r="H17" s="21">
        <v>7421126.5</v>
      </c>
      <c r="I17" s="20">
        <v>1.48265272667034</v>
      </c>
      <c r="J17" s="20">
        <v>0.59464058005595599</v>
      </c>
      <c r="K17" s="20">
        <v>73.5618298887956</v>
      </c>
      <c r="L17" s="22">
        <v>17</v>
      </c>
      <c r="M17" s="22" t="s">
        <v>294</v>
      </c>
      <c r="N17" s="22">
        <v>3</v>
      </c>
      <c r="O17" s="20">
        <v>-871.08491637301597</v>
      </c>
      <c r="P17" s="22" t="s">
        <v>292</v>
      </c>
      <c r="Q17" s="30">
        <v>14.7395500797333</v>
      </c>
      <c r="R17" s="30">
        <v>15.8061640512</v>
      </c>
      <c r="S17" s="31">
        <v>15.27</v>
      </c>
    </row>
    <row r="18" spans="1:19" ht="15.75" customHeight="1">
      <c r="A18">
        <f t="shared" si="0"/>
        <v>0</v>
      </c>
      <c r="E18" s="20">
        <v>73168.809740974495</v>
      </c>
      <c r="F18" s="20">
        <v>0</v>
      </c>
      <c r="G18" s="29">
        <v>0</v>
      </c>
      <c r="H18" s="21">
        <v>4953149.40625</v>
      </c>
      <c r="I18" s="20">
        <v>0.98958028117045105</v>
      </c>
      <c r="J18" s="20">
        <v>0.39688632531545698</v>
      </c>
      <c r="K18" s="20">
        <v>46.608294284576303</v>
      </c>
      <c r="L18" s="22">
        <v>23</v>
      </c>
      <c r="M18" s="22" t="s">
        <v>295</v>
      </c>
      <c r="N18" s="22">
        <v>4</v>
      </c>
      <c r="O18" s="20">
        <v>-74038.661936983102</v>
      </c>
      <c r="P18" s="22" t="s">
        <v>296</v>
      </c>
      <c r="Q18" s="30">
        <v>14.3870668648</v>
      </c>
      <c r="R18" s="30">
        <v>15.629954410133299</v>
      </c>
      <c r="S18" s="31">
        <v>15.1</v>
      </c>
    </row>
    <row r="19" spans="1:19" ht="15.75" customHeight="1">
      <c r="A19">
        <f t="shared" si="0"/>
        <v>0</v>
      </c>
      <c r="E19" s="20">
        <v>72377.818542573194</v>
      </c>
      <c r="F19" s="20">
        <v>0</v>
      </c>
      <c r="G19" s="29">
        <v>0</v>
      </c>
      <c r="H19" s="21">
        <v>4568811.875</v>
      </c>
      <c r="I19" s="20">
        <v>0.91279422384911701</v>
      </c>
      <c r="J19" s="20">
        <v>0.36609010119336699</v>
      </c>
      <c r="K19" s="20">
        <v>37.862060569126001</v>
      </c>
      <c r="L19" s="22">
        <v>8</v>
      </c>
      <c r="M19" s="22" t="s">
        <v>297</v>
      </c>
      <c r="N19" s="22">
        <v>3</v>
      </c>
      <c r="O19" s="20">
        <v>-74829.653135384302</v>
      </c>
      <c r="P19" s="22" t="s">
        <v>298</v>
      </c>
      <c r="Q19" s="30">
        <v>14.7395500797333</v>
      </c>
      <c r="R19" s="30">
        <v>15.9859950221333</v>
      </c>
      <c r="S19" s="31">
        <v>15.27</v>
      </c>
    </row>
    <row r="20" spans="1:19" ht="15.75" customHeight="1">
      <c r="A20">
        <f t="shared" si="0"/>
        <v>0</v>
      </c>
      <c r="E20" s="20">
        <v>77352.248015530698</v>
      </c>
      <c r="F20" s="20">
        <v>0</v>
      </c>
      <c r="G20" s="29">
        <v>0</v>
      </c>
      <c r="H20" s="21">
        <v>3433946.9375</v>
      </c>
      <c r="I20" s="20">
        <v>0.68606167777855598</v>
      </c>
      <c r="J20" s="20">
        <v>0.27515554161126998</v>
      </c>
      <c r="K20" s="20">
        <v>34.451087036267097</v>
      </c>
      <c r="L20" s="22">
        <v>7</v>
      </c>
      <c r="M20" s="22" t="s">
        <v>299</v>
      </c>
      <c r="N20" s="22">
        <v>3</v>
      </c>
      <c r="O20" s="20">
        <v>-69855.223662426797</v>
      </c>
      <c r="P20" s="22" t="s">
        <v>300</v>
      </c>
      <c r="Q20" s="30">
        <v>14.563789436</v>
      </c>
      <c r="R20" s="30">
        <v>15.629954410133299</v>
      </c>
      <c r="S20" s="31">
        <v>15.1</v>
      </c>
    </row>
    <row r="21" spans="1:19" ht="15.75" customHeight="1">
      <c r="A21">
        <f t="shared" si="0"/>
        <v>0</v>
      </c>
      <c r="E21" s="20">
        <v>44388.494787525902</v>
      </c>
      <c r="F21" s="20">
        <v>0</v>
      </c>
      <c r="G21" s="29">
        <v>0</v>
      </c>
      <c r="H21" s="21">
        <v>2375543.0625</v>
      </c>
      <c r="I21" s="20">
        <v>0.47460523193885101</v>
      </c>
      <c r="J21" s="20">
        <v>0.190347695951366</v>
      </c>
      <c r="K21" s="20">
        <v>27.234810393669601</v>
      </c>
      <c r="L21" s="22">
        <v>12</v>
      </c>
      <c r="M21" s="22" t="s">
        <v>301</v>
      </c>
      <c r="N21" s="22">
        <v>3</v>
      </c>
      <c r="O21" s="20">
        <v>-102818.97689043199</v>
      </c>
      <c r="P21" s="22" t="s">
        <v>296</v>
      </c>
      <c r="Q21" s="30">
        <v>14.3870668648</v>
      </c>
      <c r="R21" s="30">
        <v>15.629954410133299</v>
      </c>
      <c r="S21" s="31">
        <v>15.27</v>
      </c>
    </row>
    <row r="22" spans="1:19" ht="15.75" customHeight="1">
      <c r="A22">
        <f t="shared" si="0"/>
        <v>0</v>
      </c>
      <c r="E22" s="20">
        <v>73230.6324603065</v>
      </c>
      <c r="F22" s="20">
        <v>0</v>
      </c>
      <c r="G22" s="29">
        <v>0</v>
      </c>
      <c r="H22" s="21">
        <v>2253485.53125</v>
      </c>
      <c r="I22" s="20">
        <v>0.45021955879821701</v>
      </c>
      <c r="J22" s="20">
        <v>0.18056744831781099</v>
      </c>
      <c r="K22" s="20">
        <v>39.802537963005499</v>
      </c>
      <c r="L22" s="22">
        <v>9</v>
      </c>
      <c r="M22" s="22" t="s">
        <v>302</v>
      </c>
      <c r="N22" s="22">
        <v>3</v>
      </c>
      <c r="O22" s="20">
        <v>-73976.839217650995</v>
      </c>
      <c r="P22" s="22" t="s">
        <v>303</v>
      </c>
      <c r="Q22" s="30">
        <v>14.216360261066701</v>
      </c>
      <c r="R22" s="30">
        <v>15.2710761717333</v>
      </c>
      <c r="S22" s="31">
        <v>14.92</v>
      </c>
    </row>
    <row r="23" spans="1:19" ht="15.75" customHeight="1">
      <c r="A23">
        <f t="shared" si="0"/>
        <v>0</v>
      </c>
      <c r="E23" s="20">
        <v>44161.346445682997</v>
      </c>
      <c r="F23" s="20">
        <v>0</v>
      </c>
      <c r="G23" s="29">
        <v>0</v>
      </c>
      <c r="H23" s="21">
        <v>2091921.96875</v>
      </c>
      <c r="I23" s="20">
        <v>0.41794110123888201</v>
      </c>
      <c r="J23" s="20">
        <v>0.167621678630057</v>
      </c>
      <c r="K23" s="20">
        <v>12.1787060499219</v>
      </c>
      <c r="L23" s="22">
        <v>6</v>
      </c>
      <c r="M23" s="22" t="s">
        <v>304</v>
      </c>
      <c r="N23" s="22">
        <v>3</v>
      </c>
      <c r="O23" s="20">
        <v>-103046.12523227499</v>
      </c>
      <c r="P23" s="22" t="s">
        <v>305</v>
      </c>
      <c r="Q23" s="30">
        <v>14.7395500797333</v>
      </c>
      <c r="R23" s="30">
        <v>16.702179857333299</v>
      </c>
      <c r="S23" s="31">
        <v>15.27</v>
      </c>
    </row>
    <row r="24" spans="1:19" ht="15.75" customHeight="1">
      <c r="A24">
        <f t="shared" si="0"/>
        <v>0</v>
      </c>
      <c r="E24" s="20">
        <v>73985.210713666893</v>
      </c>
      <c r="F24" s="20">
        <v>0</v>
      </c>
      <c r="G24" s="29">
        <v>0</v>
      </c>
      <c r="H24" s="21">
        <v>1898937.421875</v>
      </c>
      <c r="I24" s="20">
        <v>0.37938508949237698</v>
      </c>
      <c r="J24" s="20">
        <v>0.152158199706659</v>
      </c>
      <c r="K24" s="20">
        <v>48.698869061552799</v>
      </c>
      <c r="L24" s="22">
        <v>11</v>
      </c>
      <c r="M24" s="22" t="s">
        <v>119</v>
      </c>
      <c r="N24" s="22">
        <v>4</v>
      </c>
      <c r="O24" s="20">
        <v>-73222.260964290603</v>
      </c>
      <c r="P24" s="22" t="s">
        <v>306</v>
      </c>
      <c r="Q24" s="30">
        <v>15.454677411466699</v>
      </c>
      <c r="R24" s="30">
        <v>16.8744408298667</v>
      </c>
      <c r="S24" s="31">
        <v>15.81</v>
      </c>
    </row>
    <row r="25" spans="1:19" ht="15.75" customHeight="1">
      <c r="A25">
        <f t="shared" si="0"/>
        <v>0</v>
      </c>
      <c r="E25" s="20">
        <v>73177.869750153695</v>
      </c>
      <c r="F25" s="20">
        <v>0</v>
      </c>
      <c r="G25" s="29">
        <v>0</v>
      </c>
      <c r="H25" s="21">
        <v>1556346.96875</v>
      </c>
      <c r="I25" s="20">
        <v>0.31093959038019398</v>
      </c>
      <c r="J25" s="20">
        <v>0.124707084174237</v>
      </c>
      <c r="K25" s="20">
        <v>31.3266795706488</v>
      </c>
      <c r="L25" s="22">
        <v>7</v>
      </c>
      <c r="M25" s="22" t="s">
        <v>307</v>
      </c>
      <c r="N25" s="22">
        <v>3</v>
      </c>
      <c r="O25" s="20">
        <v>-74029.6019278038</v>
      </c>
      <c r="P25" s="22" t="s">
        <v>308</v>
      </c>
      <c r="Q25" s="30">
        <v>15.095474553866699</v>
      </c>
      <c r="R25" s="30">
        <v>16.1611013224</v>
      </c>
      <c r="S25" s="31">
        <v>15.63</v>
      </c>
    </row>
    <row r="26" spans="1:19" ht="15.75" customHeight="1">
      <c r="E26" s="20"/>
      <c r="F26" s="20"/>
      <c r="G26" s="29"/>
      <c r="H26" s="21"/>
      <c r="I26" s="20"/>
      <c r="J26" s="20"/>
      <c r="K26" s="20"/>
      <c r="L26" s="22"/>
      <c r="M26" s="22"/>
      <c r="N26" s="22"/>
      <c r="O26" s="20"/>
      <c r="P26" s="22"/>
      <c r="Q26" s="30"/>
      <c r="R26" s="30"/>
      <c r="S26" s="31"/>
    </row>
    <row r="27" spans="1:19" ht="15.75" customHeight="1">
      <c r="E27" s="20"/>
      <c r="F27" s="20"/>
      <c r="G27" s="29"/>
      <c r="H27" s="21"/>
      <c r="I27" s="20"/>
      <c r="J27" s="20"/>
      <c r="K27" s="20"/>
      <c r="L27" s="22"/>
      <c r="M27" s="22"/>
      <c r="N27" s="22"/>
      <c r="O27" s="20"/>
      <c r="P27" s="22"/>
      <c r="Q27" s="30"/>
      <c r="R27" s="30"/>
      <c r="S27" s="31"/>
    </row>
    <row r="28" spans="1:19" ht="15.75" customHeight="1">
      <c r="E28" s="20"/>
      <c r="F28" s="20"/>
      <c r="G28" s="29"/>
      <c r="H28" s="21"/>
      <c r="I28" s="20"/>
      <c r="J28" s="20"/>
      <c r="K28" s="20"/>
      <c r="L28" s="22"/>
      <c r="M28" s="22"/>
      <c r="N28" s="22"/>
      <c r="O28" s="20"/>
      <c r="P28" s="22"/>
      <c r="Q28" s="30"/>
      <c r="R28" s="30"/>
      <c r="S28" s="31"/>
    </row>
    <row r="29" spans="1:19" ht="15.75" customHeight="1">
      <c r="E29" s="20"/>
      <c r="F29" s="20"/>
      <c r="G29" s="29"/>
      <c r="H29" s="21"/>
      <c r="I29" s="20"/>
      <c r="J29" s="20"/>
      <c r="K29" s="20"/>
      <c r="L29" s="22"/>
      <c r="M29" s="22"/>
      <c r="N29" s="22"/>
      <c r="O29" s="20"/>
      <c r="P29" s="22"/>
      <c r="Q29" s="30"/>
      <c r="R29" s="30"/>
      <c r="S29" s="31"/>
    </row>
    <row r="30" spans="1:19" ht="15.75" customHeight="1">
      <c r="E30" s="20"/>
      <c r="F30" s="20"/>
      <c r="G30" s="29"/>
      <c r="H30" s="21"/>
      <c r="I30" s="20"/>
      <c r="J30" s="20"/>
      <c r="K30" s="20"/>
      <c r="L30" s="22"/>
      <c r="M30" s="22"/>
      <c r="N30" s="22"/>
      <c r="O30" s="20"/>
      <c r="P30" s="22"/>
      <c r="Q30" s="30"/>
      <c r="R30" s="30"/>
      <c r="S30" s="31"/>
    </row>
    <row r="31" spans="1:19" ht="15.75" customHeight="1">
      <c r="E31" s="20"/>
      <c r="F31" s="20"/>
      <c r="G31" s="29"/>
      <c r="H31" s="21"/>
      <c r="I31" s="20"/>
      <c r="J31" s="20"/>
      <c r="K31" s="20"/>
      <c r="L31" s="22"/>
      <c r="M31" s="22"/>
      <c r="N31" s="22"/>
      <c r="O31" s="20"/>
      <c r="P31" s="22"/>
      <c r="Q31" s="30"/>
      <c r="R31" s="30"/>
      <c r="S31" s="31"/>
    </row>
    <row r="32" spans="1:19" ht="15.75" customHeight="1">
      <c r="E32" s="20"/>
      <c r="F32" s="20"/>
      <c r="G32" s="29"/>
      <c r="H32" s="21"/>
      <c r="I32" s="20"/>
      <c r="J32" s="20"/>
      <c r="K32" s="20"/>
      <c r="L32" s="22"/>
      <c r="M32" s="22"/>
      <c r="N32" s="22"/>
      <c r="O32" s="20"/>
      <c r="P32" s="22"/>
      <c r="Q32" s="30"/>
      <c r="R32" s="30"/>
      <c r="S32" s="31"/>
    </row>
    <row r="33" spans="5:19" ht="15.75" customHeight="1">
      <c r="E33" s="20"/>
      <c r="F33" s="20"/>
      <c r="G33" s="29"/>
      <c r="H33" s="21"/>
      <c r="I33" s="20"/>
      <c r="J33" s="20"/>
      <c r="K33" s="20"/>
      <c r="L33" s="22"/>
      <c r="M33" s="22"/>
      <c r="N33" s="22"/>
      <c r="O33" s="20"/>
      <c r="P33" s="22"/>
      <c r="Q33" s="30"/>
      <c r="R33" s="30"/>
      <c r="S33" s="31"/>
    </row>
    <row r="34" spans="5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5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5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5:19" ht="15.75" customHeight="1"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5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5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5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5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5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5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5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5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5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5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5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20"/>
      <c r="F55" s="20"/>
      <c r="G55" s="29"/>
      <c r="H55" s="21"/>
      <c r="I55" s="20"/>
      <c r="J55" s="20"/>
      <c r="K55" s="20"/>
      <c r="L55" s="22"/>
      <c r="M55" s="22"/>
      <c r="N55" s="22"/>
      <c r="O55" s="20"/>
      <c r="P55" s="22"/>
      <c r="Q55" s="30"/>
      <c r="R55" s="30"/>
      <c r="S55" s="31"/>
    </row>
    <row r="56" spans="5:19" ht="15.75" customHeight="1">
      <c r="E56" s="20"/>
      <c r="F56" s="20"/>
      <c r="G56" s="29"/>
      <c r="H56" s="21"/>
      <c r="I56" s="20"/>
      <c r="J56" s="20"/>
      <c r="K56" s="20"/>
      <c r="L56" s="22"/>
      <c r="M56" s="22"/>
      <c r="N56" s="22"/>
      <c r="O56" s="20"/>
      <c r="P56" s="22"/>
      <c r="Q56" s="30"/>
      <c r="R56" s="30"/>
      <c r="S56" s="31"/>
    </row>
    <row r="57" spans="5:19" ht="15.75" customHeight="1">
      <c r="E57" s="20"/>
      <c r="F57" s="20"/>
      <c r="G57" s="29"/>
      <c r="H57" s="21"/>
      <c r="I57" s="20"/>
      <c r="J57" s="20"/>
      <c r="K57" s="20"/>
      <c r="L57" s="22"/>
      <c r="M57" s="22"/>
      <c r="N57" s="22"/>
      <c r="O57" s="20"/>
      <c r="P57" s="22"/>
      <c r="Q57" s="30"/>
      <c r="R57" s="30"/>
      <c r="S57" s="31"/>
    </row>
    <row r="58" spans="5:19" ht="15.75" customHeight="1">
      <c r="E58" s="20"/>
      <c r="F58" s="20"/>
      <c r="G58" s="29"/>
      <c r="H58" s="21"/>
      <c r="I58" s="20"/>
      <c r="J58" s="20"/>
      <c r="K58" s="20"/>
      <c r="L58" s="22"/>
      <c r="M58" s="22"/>
      <c r="N58" s="22"/>
      <c r="O58" s="20"/>
      <c r="P58" s="22"/>
      <c r="Q58" s="30"/>
      <c r="R58" s="30"/>
      <c r="S58" s="31"/>
    </row>
    <row r="59" spans="5:19" ht="15.75" customHeight="1">
      <c r="E59" s="20"/>
      <c r="F59" s="20"/>
      <c r="G59" s="29"/>
      <c r="H59" s="21"/>
      <c r="I59" s="20"/>
      <c r="J59" s="20"/>
      <c r="K59" s="20"/>
      <c r="L59" s="22"/>
      <c r="M59" s="22"/>
      <c r="N59" s="22"/>
      <c r="O59" s="20"/>
      <c r="P59" s="22"/>
      <c r="Q59" s="30"/>
      <c r="R59" s="30"/>
      <c r="S59" s="31"/>
    </row>
    <row r="60" spans="5:19" ht="15.75" customHeight="1">
      <c r="E60" s="20"/>
      <c r="F60" s="20"/>
      <c r="G60" s="29"/>
      <c r="H60" s="21"/>
      <c r="I60" s="20"/>
      <c r="J60" s="20"/>
      <c r="K60" s="20"/>
      <c r="L60" s="22"/>
      <c r="M60" s="22"/>
      <c r="N60" s="22"/>
      <c r="O60" s="20"/>
      <c r="P60" s="22"/>
      <c r="Q60" s="30"/>
      <c r="R60" s="30"/>
      <c r="S60" s="31"/>
    </row>
    <row r="61" spans="5:19" ht="15.75" customHeight="1">
      <c r="E61" s="20"/>
      <c r="F61" s="20"/>
      <c r="G61" s="29"/>
      <c r="H61" s="21"/>
      <c r="I61" s="20"/>
      <c r="J61" s="20"/>
      <c r="K61" s="20"/>
      <c r="L61" s="22"/>
      <c r="M61" s="22"/>
      <c r="N61" s="22"/>
      <c r="O61" s="20"/>
      <c r="P61" s="22"/>
      <c r="Q61" s="30"/>
      <c r="R61" s="30"/>
      <c r="S61" s="31"/>
    </row>
    <row r="62" spans="5:19" ht="15.75" customHeight="1">
      <c r="E62" s="20"/>
      <c r="F62" s="20"/>
      <c r="G62" s="29"/>
      <c r="H62" s="21"/>
      <c r="I62" s="20"/>
      <c r="J62" s="20"/>
      <c r="K62" s="20"/>
      <c r="L62" s="22"/>
      <c r="M62" s="22"/>
      <c r="N62" s="22"/>
      <c r="O62" s="20"/>
      <c r="P62" s="22"/>
      <c r="Q62" s="30"/>
      <c r="R62" s="30"/>
      <c r="S62" s="31"/>
    </row>
    <row r="63" spans="5:19" ht="15.75" customHeight="1">
      <c r="E63" s="20"/>
      <c r="F63" s="20"/>
      <c r="G63" s="29"/>
      <c r="H63" s="21"/>
      <c r="I63" s="20"/>
      <c r="J63" s="20"/>
      <c r="K63" s="20"/>
      <c r="L63" s="22"/>
      <c r="M63" s="22"/>
      <c r="N63" s="22"/>
      <c r="O63" s="20"/>
      <c r="P63" s="22"/>
      <c r="Q63" s="30"/>
      <c r="R63" s="30"/>
      <c r="S63" s="31"/>
    </row>
    <row r="64" spans="5:19" ht="15.75" customHeight="1">
      <c r="E64" s="20"/>
      <c r="F64" s="20"/>
      <c r="G64" s="29"/>
      <c r="H64" s="21"/>
      <c r="I64" s="20"/>
      <c r="J64" s="20"/>
      <c r="K64" s="20"/>
      <c r="L64" s="22"/>
      <c r="M64" s="22"/>
      <c r="N64" s="22"/>
      <c r="O64" s="20"/>
      <c r="P64" s="22"/>
      <c r="Q64" s="30"/>
      <c r="R64" s="30"/>
      <c r="S64" s="31"/>
    </row>
    <row r="65" spans="5:19" ht="15.75" customHeight="1">
      <c r="E65" s="18"/>
      <c r="F65" s="18"/>
      <c r="G65" s="18"/>
      <c r="H65" s="2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5:19" ht="15.75" customHeight="1">
      <c r="E66" s="18"/>
      <c r="F66" s="18"/>
      <c r="G66" s="18"/>
      <c r="H66" s="2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5:19" ht="15.75" customHeight="1"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5:19" ht="15.75" customHeight="1">
      <c r="E68" s="18"/>
      <c r="F68" s="18"/>
      <c r="G68" s="18"/>
      <c r="H68" s="2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5:19" ht="15.75" customHeight="1">
      <c r="E69" s="18"/>
      <c r="F69" s="18"/>
      <c r="G69" s="18"/>
      <c r="H69" s="2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5:19" ht="15.75" customHeight="1">
      <c r="E70" s="18"/>
      <c r="F70" s="18"/>
      <c r="G70" s="18"/>
      <c r="H70" s="2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5:19" ht="15.75" customHeight="1">
      <c r="E71" s="18"/>
      <c r="F71" s="18"/>
      <c r="G71" s="18"/>
      <c r="H71" s="2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5:19" ht="15.75" customHeight="1">
      <c r="E72" s="18"/>
      <c r="F72" s="18"/>
      <c r="G72" s="18"/>
      <c r="H72" s="2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5:19" ht="15.75" customHeight="1">
      <c r="E73" s="18"/>
      <c r="F73" s="18"/>
      <c r="G73" s="18"/>
      <c r="H73" s="2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5:19" ht="15.75" customHeight="1">
      <c r="E74" s="18"/>
      <c r="F74" s="18"/>
      <c r="G74" s="18"/>
      <c r="H74" s="2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5:19" ht="15.75" customHeight="1">
      <c r="E75" s="18"/>
      <c r="F75" s="18"/>
      <c r="G75" s="18"/>
      <c r="H75" s="2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5:19" ht="15.75" customHeight="1">
      <c r="E76" s="18"/>
      <c r="F76" s="18"/>
      <c r="G76" s="18"/>
      <c r="H76" s="2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5:19" ht="15.75" customHeight="1">
      <c r="E77" s="18"/>
      <c r="F77" s="18"/>
      <c r="G77" s="18"/>
      <c r="H77" s="2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5:19" ht="15.75" customHeight="1">
      <c r="E78" s="18"/>
      <c r="F78" s="18"/>
      <c r="G78" s="18"/>
      <c r="H78" s="2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5:19" ht="15.75" customHeight="1">
      <c r="E79" s="18"/>
      <c r="F79" s="18"/>
      <c r="G79" s="18"/>
      <c r="H79" s="2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5:19" ht="15.75" customHeight="1">
      <c r="E80" s="18"/>
      <c r="F80" s="18"/>
      <c r="G80" s="18"/>
      <c r="H80" s="2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5:19" ht="15.75" customHeight="1">
      <c r="E81" s="18"/>
      <c r="F81" s="18"/>
      <c r="G81" s="18"/>
      <c r="H81" s="2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spans="5:19" ht="15.75" customHeight="1">
      <c r="E82" s="18"/>
      <c r="F82" s="18"/>
      <c r="G82" s="18"/>
      <c r="H82" s="2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5:19" ht="15.75" customHeight="1">
      <c r="E83" s="18"/>
      <c r="F83" s="18"/>
      <c r="G83" s="18"/>
      <c r="H83" s="2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5:19" ht="15.75" customHeight="1">
      <c r="E84" s="18"/>
      <c r="F84" s="18"/>
      <c r="G84" s="18"/>
      <c r="H84" s="2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5:19" ht="15.75" customHeight="1">
      <c r="E85" s="18"/>
      <c r="F85" s="18"/>
      <c r="G85" s="18"/>
      <c r="H85" s="2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5:19" ht="15.75" customHeight="1">
      <c r="E86" s="18"/>
      <c r="F86" s="18"/>
      <c r="G86" s="18"/>
      <c r="H86" s="2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5:19" ht="15.75" customHeight="1">
      <c r="E87" s="18"/>
      <c r="F87" s="18"/>
      <c r="G87" s="18"/>
      <c r="H87" s="2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5:19" ht="15.75" customHeight="1">
      <c r="E88" s="18"/>
      <c r="F88" s="18"/>
      <c r="G88" s="18"/>
      <c r="H88" s="2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5:19" ht="15.75" customHeight="1">
      <c r="E89" s="18"/>
      <c r="F89" s="18"/>
      <c r="G89" s="18"/>
      <c r="H89" s="2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5:19" ht="15.75" customHeight="1">
      <c r="E90" s="18"/>
      <c r="F90" s="18"/>
      <c r="G90" s="18"/>
      <c r="H90" s="2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5:19" ht="15.75" customHeight="1">
      <c r="E91" s="18"/>
      <c r="F91" s="18"/>
      <c r="G91" s="18"/>
      <c r="H91" s="2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5:19" ht="15.75" customHeight="1">
      <c r="E92" s="18"/>
      <c r="F92" s="18"/>
      <c r="G92" s="18"/>
      <c r="H92" s="2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5:19" ht="15.75" customHeight="1">
      <c r="E93" s="18"/>
      <c r="F93" s="18"/>
      <c r="G93" s="18"/>
      <c r="H93" s="2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5:19" ht="15.75" customHeight="1">
      <c r="E94" s="18"/>
      <c r="F94" s="18"/>
      <c r="G94" s="18"/>
      <c r="H94" s="2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5:19" ht="15.75" customHeight="1">
      <c r="E95" s="18"/>
      <c r="F95" s="18"/>
      <c r="G95" s="18"/>
      <c r="H95" s="2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5:19" ht="15.75" customHeight="1">
      <c r="E96" s="18"/>
      <c r="F96" s="18"/>
      <c r="G96" s="18"/>
      <c r="H96" s="2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5:19" ht="15.75" customHeight="1">
      <c r="E97" s="18"/>
      <c r="F97" s="18"/>
      <c r="G97" s="18"/>
      <c r="H97" s="2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5:19" ht="15.75" customHeight="1">
      <c r="E98" s="18"/>
      <c r="F98" s="18"/>
      <c r="G98" s="18"/>
      <c r="H98" s="2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5:19" ht="15.75" customHeight="1"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5:19" ht="15.75" customHeight="1">
      <c r="E100" s="18"/>
      <c r="F100" s="18"/>
      <c r="G100" s="18"/>
      <c r="H100" s="2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5:19" ht="15.75" customHeight="1">
      <c r="E101" s="18"/>
      <c r="F101" s="18"/>
      <c r="G101" s="18"/>
      <c r="H101" s="2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5:19" ht="15.75" customHeight="1">
      <c r="E102" s="18"/>
      <c r="F102" s="18"/>
      <c r="G102" s="18"/>
      <c r="H102" s="2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5:19" ht="15.75" customHeight="1">
      <c r="E103" s="18"/>
      <c r="F103" s="18"/>
      <c r="G103" s="18"/>
      <c r="H103" s="2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5:19" ht="15.75" customHeight="1">
      <c r="E104" s="18"/>
      <c r="F104" s="18"/>
      <c r="G104" s="18"/>
      <c r="H104" s="2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5:19" ht="15.75" customHeight="1">
      <c r="E105" s="18"/>
      <c r="F105" s="18"/>
      <c r="G105" s="18"/>
      <c r="H105" s="2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5:19" ht="15.75" customHeight="1">
      <c r="E106" s="18"/>
      <c r="F106" s="18"/>
      <c r="G106" s="18"/>
      <c r="H106" s="2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5:19" ht="15.75" customHeight="1">
      <c r="E107" s="18"/>
      <c r="F107" s="18"/>
      <c r="G107" s="18"/>
      <c r="H107" s="2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5:19" ht="15.75" customHeight="1">
      <c r="E108" s="18"/>
      <c r="F108" s="18"/>
      <c r="G108" s="18"/>
      <c r="H108" s="2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5:19" ht="15.75" customHeight="1">
      <c r="E109" s="18"/>
      <c r="F109" s="18"/>
      <c r="G109" s="18"/>
      <c r="H109" s="2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5:19" ht="15.75" customHeight="1"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5:19" ht="15.75" customHeight="1">
      <c r="E111" s="18"/>
      <c r="F111" s="18"/>
      <c r="G111" s="18"/>
      <c r="H111" s="2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5:19" ht="15.75" customHeight="1">
      <c r="E112" s="18"/>
      <c r="F112" s="18"/>
      <c r="G112" s="18"/>
      <c r="H112" s="2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5:19" ht="15.75" customHeight="1">
      <c r="E113" s="18"/>
      <c r="F113" s="18"/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5:19" ht="15.75" customHeight="1">
      <c r="E114" s="18"/>
      <c r="F114" s="18"/>
      <c r="G114" s="18"/>
      <c r="H114" s="2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5:19" ht="15.75" customHeight="1">
      <c r="E115" s="18"/>
      <c r="F115" s="18"/>
      <c r="G115" s="18"/>
      <c r="H115" s="2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5:19" ht="15.75" customHeight="1">
      <c r="E116" s="18"/>
      <c r="F116" s="18"/>
      <c r="G116" s="18"/>
      <c r="H116" s="2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5:19" ht="15.75" customHeight="1">
      <c r="E117" s="18"/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5:19" ht="15.75" customHeight="1">
      <c r="E118" s="18"/>
      <c r="F118" s="18"/>
      <c r="G118" s="18"/>
      <c r="H118" s="2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5:19" ht="15.75" customHeight="1">
      <c r="E119" s="18"/>
      <c r="F119" s="18"/>
      <c r="G119" s="18"/>
      <c r="H119" s="2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5:19" ht="15.75" customHeight="1"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5:19" ht="15.75" customHeight="1">
      <c r="E121" s="18"/>
      <c r="F121" s="18"/>
      <c r="G121" s="18"/>
      <c r="H121" s="2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5:19" ht="15.75" customHeight="1">
      <c r="E122" s="18"/>
      <c r="F122" s="18"/>
      <c r="G122" s="18"/>
      <c r="H122" s="2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5:19" ht="15.75" customHeight="1">
      <c r="E123" s="18"/>
      <c r="F123" s="18"/>
      <c r="G123" s="18"/>
      <c r="H123" s="2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E126" s="18"/>
      <c r="F126" s="18"/>
      <c r="G126" s="18"/>
      <c r="H126" s="2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/>
      <c r="H127" s="2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/>
      <c r="H128" s="2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5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5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5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5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5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5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5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5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5:19" ht="15.75" customHeight="1">
      <c r="E137" s="18"/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5:19" ht="15.75" customHeight="1">
      <c r="E138" s="18"/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5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5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5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5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5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5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1" t="s">
        <v>167</v>
      </c>
      <c r="B600" s="52"/>
      <c r="C600" s="52"/>
      <c r="D600" s="53"/>
      <c r="E600" s="7"/>
      <c r="F600" s="51" t="str">
        <f>A600</f>
        <v>PPB31405_deglyc_2K_2pQ_2GSH_1Cys_8Ox</v>
      </c>
      <c r="G600" s="53"/>
      <c r="H600" s="7"/>
      <c r="I600" s="13" t="s">
        <v>168</v>
      </c>
      <c r="J600" s="3">
        <f>SUM(H2:H592)</f>
        <v>1248002048.546875</v>
      </c>
    </row>
    <row r="601" spans="1:19">
      <c r="A601" s="54" t="s">
        <v>2</v>
      </c>
      <c r="B601" s="52"/>
      <c r="C601" s="52"/>
      <c r="D601" s="53"/>
      <c r="E601" s="7"/>
      <c r="F601" s="6" t="s">
        <v>169</v>
      </c>
      <c r="G601" s="8" t="s">
        <v>169</v>
      </c>
      <c r="H601" s="24"/>
      <c r="I601" s="14" t="s">
        <v>170</v>
      </c>
      <c r="J601" s="4">
        <f>100-(SUMIF(C2:C592,"",H2:H592)/J600*100)</f>
        <v>82.688316143115685</v>
      </c>
    </row>
    <row r="602" spans="1:19">
      <c r="A602" s="27">
        <v>0</v>
      </c>
      <c r="B602" s="27">
        <v>1</v>
      </c>
      <c r="C602" s="27">
        <v>2</v>
      </c>
      <c r="D602" s="27">
        <v>3</v>
      </c>
      <c r="E602" s="24"/>
      <c r="F602" s="11" t="e">
        <f>(A603*A602+B603*B602+C603*C602+D603*D602)/(A603+B603+C603+D603)</f>
        <v>#DIV/0!</v>
      </c>
      <c r="G602" s="34">
        <f>IFERROR(F602,0)</f>
        <v>0</v>
      </c>
      <c r="H602" s="32"/>
      <c r="I602" s="13" t="s">
        <v>171</v>
      </c>
      <c r="J602" s="5" t="e">
        <f>#REF!</f>
        <v>#REF!</v>
      </c>
    </row>
    <row r="603" spans="1:19">
      <c r="A603" s="2">
        <f>SUMIFS($H$2:$H$592,$A$2:$A$592,$A600,$B$2:$B$592,A602, $I$2:$I$592,"&gt;="&amp;$J$602,$G$2:$G$592,"&lt;="&amp;$J$603)</f>
        <v>0</v>
      </c>
      <c r="B603" s="2">
        <f>SUMIFS($H$2:$H$592,$A$2:$A$592,$A600,$B$2:$B$592,B602, $I$2:$I$592,"&gt;="&amp;$J$602,$G$2:$G$592,"&lt;="&amp;$J$603)</f>
        <v>0</v>
      </c>
      <c r="C603" s="2">
        <f>SUMIFS($H$2:$H$592,$A$2:$A$592,$A600,$B$2:$B$592,C602, $I$2:$I$592,"&gt;="&amp;$J$602,$G$2:$G$592,"&lt;="&amp;$J$603)</f>
        <v>0</v>
      </c>
      <c r="D603" s="2">
        <f>SUMIFS($H$2:$H$592,$A$2:$A$592,$A600,$B$2:$B$592,D602, $I$2:$I$592,"&gt;="&amp;$J$602,$G$2:$G$592,"&lt;="&amp;$J$603)</f>
        <v>0</v>
      </c>
      <c r="E603" s="9"/>
      <c r="F603" s="1">
        <f>SUM(A603:D603)</f>
        <v>0</v>
      </c>
      <c r="G603" s="1">
        <f>F603</f>
        <v>0</v>
      </c>
      <c r="H603" s="9"/>
      <c r="I603" s="13" t="s">
        <v>172</v>
      </c>
      <c r="J603" s="5" t="e">
        <f>#REF!</f>
        <v>#REF!</v>
      </c>
    </row>
    <row r="604" spans="1:19">
      <c r="C604" s="25"/>
      <c r="D604" s="25"/>
      <c r="I604" s="13" t="s">
        <v>173</v>
      </c>
      <c r="J604" s="3">
        <f>SUMIFS(H2:H592,I2:I592,"&gt;"&amp;J602,G2:G592,"&lt;"&amp;J603)</f>
        <v>0</v>
      </c>
    </row>
    <row r="605" spans="1:19">
      <c r="A605" s="51" t="s">
        <v>174</v>
      </c>
      <c r="B605" s="52"/>
      <c r="C605" s="52"/>
      <c r="D605" s="53"/>
      <c r="E605" s="7"/>
      <c r="F605" s="51" t="str">
        <f>A605</f>
        <v>PPB31405_deglyc_2K_2pQ_2GSH_1Cys_5Ox</v>
      </c>
      <c r="G605" s="53"/>
      <c r="H605" s="7"/>
      <c r="I605" s="14" t="s">
        <v>175</v>
      </c>
      <c r="J605" s="4" t="e">
        <f>$G$651/$J$604*100</f>
        <v>#DIV/0!</v>
      </c>
    </row>
    <row r="606" spans="1:19">
      <c r="A606" s="54" t="s">
        <v>2</v>
      </c>
      <c r="B606" s="52"/>
      <c r="C606" s="52"/>
      <c r="D606" s="53"/>
      <c r="E606" s="7"/>
      <c r="F606" s="6" t="s">
        <v>169</v>
      </c>
      <c r="G606" s="6" t="str">
        <f>F606</f>
        <v>Mean DAR w/ cut-off</v>
      </c>
      <c r="H606" s="24"/>
    </row>
    <row r="607" spans="1:19">
      <c r="A607" s="27">
        <v>0</v>
      </c>
      <c r="B607" s="27">
        <v>1</v>
      </c>
      <c r="C607" s="27">
        <v>2</v>
      </c>
      <c r="D607" s="27">
        <v>3</v>
      </c>
      <c r="E607" s="24"/>
      <c r="F607" s="12" t="e">
        <f>(A608*A607+B608*B607+C608*C607+D608*D607)/(A608+B608+C608+D608)</f>
        <v>#DIV/0!</v>
      </c>
      <c r="G607" s="34">
        <f>IFERROR(F607,0)</f>
        <v>0</v>
      </c>
      <c r="H607" s="32"/>
      <c r="I607" s="28" t="s">
        <v>169</v>
      </c>
      <c r="J607" s="35" t="e">
        <f>(G602*G603+G607*G608+G612*G613+G617*G618+G622*G623+G627*G628+G632*G633+G637*G638+G642*G643+G647*G648)/$G$651</f>
        <v>#DIV/0!</v>
      </c>
    </row>
    <row r="608" spans="1:19">
      <c r="A608" s="2">
        <f>SUMIFS($H$2:$H$592,$A$2:$A$592,$A605,$B$2:$B$592,A607, $I$2:$I$592,"&gt;="&amp;$J$602,$G$2:$G$592,"&lt;="&amp;$J$603)</f>
        <v>0</v>
      </c>
      <c r="B608" s="2">
        <f>SUMIFS($H$2:$H$592,$A$2:$A$592,$A605,$B$2:$B$592,B607, $I$2:$I$592,"&gt;="&amp;$J$602,$G$2:$G$592,"&lt;="&amp;$J$603)</f>
        <v>0</v>
      </c>
      <c r="C608" s="2">
        <f>SUMIFS($H$2:$H$592,$A$2:$A$592,$A605,$B$2:$B$592,C607, $I$2:$I$592,"&gt;="&amp;$J$602,$G$2:$G$592,"&lt;="&amp;$J$603)</f>
        <v>0</v>
      </c>
      <c r="D608" s="2">
        <f>SUMIFS($H$2:$H$592,$A$2:$A$592,$A605,$B$2:$B$592,D607, $I$2:$I$592,"&gt;="&amp;$J$602,$G$2:$G$592,"&lt;="&amp;$J$603)</f>
        <v>0</v>
      </c>
      <c r="E608" s="9"/>
      <c r="F608" s="1">
        <f>SUM(A608:D608)</f>
        <v>0</v>
      </c>
      <c r="G608" s="1">
        <f>F608</f>
        <v>0</v>
      </c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1" t="s">
        <v>176</v>
      </c>
      <c r="B610" s="52"/>
      <c r="C610" s="52"/>
      <c r="D610" s="53"/>
      <c r="E610" s="7"/>
      <c r="F610" s="51" t="str">
        <f>A610</f>
        <v>PPB31405_deglyc_2K_2pQ_2GSH_5Ox</v>
      </c>
      <c r="G610" s="53"/>
      <c r="H610" s="7"/>
    </row>
    <row r="611" spans="1:10">
      <c r="A611" s="54" t="s">
        <v>2</v>
      </c>
      <c r="B611" s="52"/>
      <c r="C611" s="52"/>
      <c r="D611" s="53"/>
      <c r="E611" s="7"/>
      <c r="F611" s="6" t="s">
        <v>169</v>
      </c>
      <c r="G611" s="6" t="str">
        <f>F611</f>
        <v>Mean DAR w/ cut-off</v>
      </c>
      <c r="H611" s="24"/>
      <c r="I611" s="48"/>
      <c r="J611" s="49"/>
    </row>
    <row r="612" spans="1:10">
      <c r="A612" s="27">
        <v>0</v>
      </c>
      <c r="B612" s="27">
        <v>1</v>
      </c>
      <c r="C612" s="27">
        <v>2</v>
      </c>
      <c r="D612" s="27">
        <v>3</v>
      </c>
      <c r="E612" s="24"/>
      <c r="F612" s="12" t="e">
        <f>(A613*A612+B613*B612+C613*C612+D613*D612)/(A613+B613+C613+D613)</f>
        <v>#DIV/0!</v>
      </c>
      <c r="G612" s="34">
        <f>IFERROR(F612,0)</f>
        <v>0</v>
      </c>
      <c r="H612" s="32"/>
      <c r="I612" s="24"/>
      <c r="J612" s="33"/>
    </row>
    <row r="613" spans="1:10">
      <c r="A613" s="2">
        <f>SUMIFS($H$2:$H$592,$A$2:$A$592,$A610,$B$2:$B$592,A612, $I$2:$I$592,"&gt;="&amp;$J$602,$G$2:$G$592,"&lt;="&amp;$J$603)</f>
        <v>0</v>
      </c>
      <c r="B613" s="2">
        <f>SUMIFS($H$2:$H$592,$A$2:$A$592,$A610,$B$2:$B$592,B612, $I$2:$I$592,"&gt;="&amp;$J$602,$G$2:$G$592,"&lt;="&amp;$J$603)</f>
        <v>0</v>
      </c>
      <c r="C613" s="2">
        <f>SUMIFS($H$2:$H$592,$A$2:$A$592,$A610,$B$2:$B$592,C612, $I$2:$I$592,"&gt;="&amp;$J$602,$G$2:$G$592,"&lt;="&amp;$J$603)</f>
        <v>0</v>
      </c>
      <c r="D613" s="2">
        <f>SUMIFS($H$2:$H$592,$A$2:$A$592,$A610,$B$2:$B$592,D612, $I$2:$I$592,"&gt;="&amp;$J$602,$G$2:$G$592,"&lt;="&amp;$J$603)</f>
        <v>0</v>
      </c>
      <c r="E613" s="9"/>
      <c r="F613" s="1">
        <f>SUM(A613:D613)</f>
        <v>0</v>
      </c>
      <c r="G613" s="1">
        <f>F613</f>
        <v>0</v>
      </c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1" t="s">
        <v>177</v>
      </c>
      <c r="B615" s="52"/>
      <c r="C615" s="52"/>
      <c r="D615" s="53"/>
      <c r="E615" s="7"/>
      <c r="F615" s="51" t="str">
        <f>A615</f>
        <v>PPB31405_deglyc_2K_2pQ_1GSH_2Ox</v>
      </c>
      <c r="G615" s="53"/>
      <c r="H615" s="7"/>
    </row>
    <row r="616" spans="1:10">
      <c r="A616" s="54" t="s">
        <v>2</v>
      </c>
      <c r="B616" s="52"/>
      <c r="C616" s="52"/>
      <c r="D616" s="53"/>
      <c r="E616" s="7"/>
      <c r="F616" s="6" t="s">
        <v>169</v>
      </c>
      <c r="G616" s="6" t="str">
        <f>F616</f>
        <v>Mean DAR w/ cut-off</v>
      </c>
      <c r="H616" s="24"/>
      <c r="I616" s="48"/>
      <c r="J616" s="49"/>
    </row>
    <row r="617" spans="1:10">
      <c r="A617" s="27">
        <v>0</v>
      </c>
      <c r="B617" s="27">
        <v>1</v>
      </c>
      <c r="C617" s="27">
        <v>2</v>
      </c>
      <c r="D617" s="27">
        <v>3</v>
      </c>
      <c r="E617" s="24"/>
      <c r="F617" s="12" t="e">
        <f>(A618*A617+B618*B617+C618*C617+D618*D617)/(A618+B618+C618+D618)</f>
        <v>#DIV/0!</v>
      </c>
      <c r="G617" s="34">
        <f>IFERROR(F617,0)</f>
        <v>0</v>
      </c>
      <c r="H617" s="32"/>
      <c r="I617" s="24"/>
      <c r="J617" s="33"/>
    </row>
    <row r="618" spans="1:10">
      <c r="A618" s="2">
        <f>SUMIFS($H$2:$H$592,$A$2:$A$592,$A615,$B$2:$B$592,A617, $I$2:$I$592,"&gt;="&amp;$J$602,$G$2:$G$592,"&lt;="&amp;$J$603)</f>
        <v>0</v>
      </c>
      <c r="B618" s="2">
        <f>SUMIFS($H$2:$H$592,$A$2:$A$592,$A615,$B$2:$B$592,B617, $I$2:$I$592,"&gt;="&amp;$J$602,$G$2:$G$592,"&lt;="&amp;$J$603)</f>
        <v>0</v>
      </c>
      <c r="C618" s="2">
        <f>SUMIFS($H$2:$H$592,$A$2:$A$592,$A615,$B$2:$B$592,C617, $I$2:$I$592,"&gt;="&amp;$J$602,$G$2:$G$592,"&lt;="&amp;$J$603)</f>
        <v>0</v>
      </c>
      <c r="D618" s="2">
        <f>SUMIFS($H$2:$H$592,$A$2:$A$592,$A615,$B$2:$B$592,D617, $I$2:$I$592,"&gt;="&amp;$J$602,$G$2:$G$592,"&lt;="&amp;$J$603)</f>
        <v>0</v>
      </c>
      <c r="E618" s="9"/>
      <c r="F618" s="1">
        <f>SUM(A618:D618)</f>
        <v>0</v>
      </c>
      <c r="G618" s="1">
        <f>F618</f>
        <v>0</v>
      </c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1" t="s">
        <v>178</v>
      </c>
      <c r="B620" s="52"/>
      <c r="C620" s="52"/>
      <c r="D620" s="53"/>
      <c r="E620" s="7"/>
      <c r="F620" s="51" t="str">
        <f>A620</f>
        <v>PPB31405_deglyc_2GK_2pQ</v>
      </c>
      <c r="G620" s="53"/>
      <c r="H620" s="7"/>
    </row>
    <row r="621" spans="1:10">
      <c r="A621" s="54" t="s">
        <v>2</v>
      </c>
      <c r="B621" s="52"/>
      <c r="C621" s="52"/>
      <c r="D621" s="53"/>
      <c r="E621" s="7"/>
      <c r="F621" s="6" t="s">
        <v>169</v>
      </c>
      <c r="G621" s="6" t="str">
        <f>F621</f>
        <v>Mean DAR w/ cut-off</v>
      </c>
      <c r="H621" s="24"/>
      <c r="I621" s="48"/>
      <c r="J621" s="49"/>
    </row>
    <row r="622" spans="1:10">
      <c r="A622" s="27">
        <v>0</v>
      </c>
      <c r="B622" s="27">
        <v>1</v>
      </c>
      <c r="C622" s="27">
        <v>2</v>
      </c>
      <c r="D622" s="27">
        <v>3</v>
      </c>
      <c r="E622" s="24"/>
      <c r="F622" s="12" t="e">
        <f>(A623*A622+B623*B622+C623*C622+D623*D622)/(A623+B623+C623+D623)</f>
        <v>#DIV/0!</v>
      </c>
      <c r="G622" s="34">
        <f>IFERROR(F622,0)</f>
        <v>0</v>
      </c>
      <c r="H622" s="32"/>
      <c r="I622" s="24"/>
      <c r="J622" s="33"/>
    </row>
    <row r="623" spans="1:10">
      <c r="A623" s="2">
        <f>SUMIFS($H$2:$H$592,$A$2:$A$592,$A620,$B$2:$B$592,A622, $I$2:$I$592,"&gt;="&amp;$J$602,$G$2:$G$592,"&lt;="&amp;$J$603)</f>
        <v>0</v>
      </c>
      <c r="B623" s="2">
        <f>SUMIFS($H$2:$H$592,$A$2:$A$592,$A620,$B$2:$B$592,B622, $I$2:$I$592,"&gt;="&amp;$J$602,$G$2:$G$592,"&lt;="&amp;$J$603)</f>
        <v>0</v>
      </c>
      <c r="C623" s="2">
        <f>SUMIFS($H$2:$H$592,$A$2:$A$592,$A620,$B$2:$B$592,C622, $I$2:$I$592,"&gt;="&amp;$J$602,$G$2:$G$592,"&lt;="&amp;$J$603)</f>
        <v>0</v>
      </c>
      <c r="D623" s="2">
        <f>SUMIFS($H$2:$H$592,$A$2:$A$592,$A620,$B$2:$B$592,D622, $I$2:$I$592,"&gt;="&amp;$J$602,$G$2:$G$592,"&lt;="&amp;$J$603)</f>
        <v>0</v>
      </c>
      <c r="E623" s="9"/>
      <c r="F623" s="1">
        <f>SUM(A623:D623)</f>
        <v>0</v>
      </c>
      <c r="G623" s="1">
        <f>F623</f>
        <v>0</v>
      </c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1" t="s">
        <v>179</v>
      </c>
      <c r="B625" s="52"/>
      <c r="C625" s="52"/>
      <c r="D625" s="53"/>
      <c r="E625" s="7"/>
      <c r="F625" s="51" t="str">
        <f>A625</f>
        <v>PPB31405_deglyc_1K1GK_2pQ</v>
      </c>
      <c r="G625" s="53"/>
      <c r="H625" s="7"/>
    </row>
    <row r="626" spans="1:10">
      <c r="A626" s="54" t="s">
        <v>2</v>
      </c>
      <c r="B626" s="52"/>
      <c r="C626" s="52"/>
      <c r="D626" s="53"/>
      <c r="E626" s="7"/>
      <c r="F626" s="6" t="s">
        <v>169</v>
      </c>
      <c r="G626" s="6" t="str">
        <f>F626</f>
        <v>Mean DAR w/ cut-off</v>
      </c>
      <c r="H626" s="24"/>
      <c r="I626" s="48"/>
      <c r="J626" s="49"/>
    </row>
    <row r="627" spans="1:10">
      <c r="A627" s="27">
        <v>0</v>
      </c>
      <c r="B627" s="27">
        <v>1</v>
      </c>
      <c r="C627" s="27">
        <v>2</v>
      </c>
      <c r="D627" s="27">
        <v>3</v>
      </c>
      <c r="E627" s="24"/>
      <c r="F627" s="12" t="e">
        <f>(A628*A627+B628*B627+C628*C627+D628*D627)/(A628+B628+C628+D628)</f>
        <v>#DIV/0!</v>
      </c>
      <c r="G627" s="34">
        <f>IFERROR(F627,0)</f>
        <v>0</v>
      </c>
      <c r="H627" s="32"/>
      <c r="I627" s="24"/>
      <c r="J627" s="33"/>
    </row>
    <row r="628" spans="1:10">
      <c r="A628" s="2">
        <f>SUMIFS($H$2:$H$592,$A$2:$A$592,$A625,$B$2:$B$592,A627, $I$2:$I$592,"&gt;="&amp;$J$602,$G$2:$G$592,"&lt;="&amp;$J$603)</f>
        <v>0</v>
      </c>
      <c r="B628" s="2">
        <f>SUMIFS($H$2:$H$592,$A$2:$A$592,$A625,$B$2:$B$592,B627, $I$2:$I$592,"&gt;="&amp;$J$602,$G$2:$G$592,"&lt;="&amp;$J$603)</f>
        <v>0</v>
      </c>
      <c r="C628" s="2">
        <f>SUMIFS($H$2:$H$592,$A$2:$A$592,$A625,$B$2:$B$592,C627, $I$2:$I$592,"&gt;="&amp;$J$602,$G$2:$G$592,"&lt;="&amp;$J$603)</f>
        <v>0</v>
      </c>
      <c r="D628" s="2">
        <f>SUMIFS($H$2:$H$592,$A$2:$A$592,$A625,$B$2:$B$592,D627, $I$2:$I$592,"&gt;="&amp;$J$602,$G$2:$G$592,"&lt;="&amp;$J$603)</f>
        <v>0</v>
      </c>
      <c r="E628" s="9"/>
      <c r="F628" s="1">
        <f>SUM(A628:D628)</f>
        <v>0</v>
      </c>
      <c r="G628" s="1">
        <f>F628</f>
        <v>0</v>
      </c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1" t="s">
        <v>180</v>
      </c>
      <c r="B630" s="52"/>
      <c r="C630" s="52"/>
      <c r="D630" s="53"/>
      <c r="E630" s="7"/>
      <c r="F630" s="51" t="str">
        <f>A630</f>
        <v>PPB31405_deglyc_1GK</v>
      </c>
      <c r="G630" s="53"/>
      <c r="H630" s="7"/>
    </row>
    <row r="631" spans="1:10">
      <c r="A631" s="54" t="s">
        <v>2</v>
      </c>
      <c r="B631" s="52"/>
      <c r="C631" s="52"/>
      <c r="D631" s="53"/>
      <c r="E631" s="7"/>
      <c r="F631" s="6" t="s">
        <v>169</v>
      </c>
      <c r="G631" s="6" t="str">
        <f>F631</f>
        <v>Mean DAR w/ cut-off</v>
      </c>
      <c r="H631" s="24"/>
      <c r="I631" s="48"/>
      <c r="J631" s="49"/>
    </row>
    <row r="632" spans="1:10">
      <c r="A632" s="27">
        <v>0</v>
      </c>
      <c r="B632" s="27">
        <v>1</v>
      </c>
      <c r="C632" s="27">
        <v>2</v>
      </c>
      <c r="D632" s="27">
        <v>3</v>
      </c>
      <c r="E632" s="24"/>
      <c r="F632" s="12" t="e">
        <f>(A633*A632+B633*B632+C633*C632+D633*D632)/(A633+B633+C633+D633)</f>
        <v>#DIV/0!</v>
      </c>
      <c r="G632" s="34">
        <f>IFERROR(F632,0)</f>
        <v>0</v>
      </c>
      <c r="H632" s="32"/>
      <c r="I632" s="24"/>
      <c r="J632" s="33"/>
    </row>
    <row r="633" spans="1:10">
      <c r="A633" s="2">
        <f>SUMIFS($H$2:$H$592,$A$2:$A$592,$A630,$B$2:$B$592,A632, $I$2:$I$592,"&gt;="&amp;$J$602,$G$2:$G$592,"&lt;="&amp;$J$603)</f>
        <v>0</v>
      </c>
      <c r="B633" s="2">
        <f>SUMIFS($H$2:$H$592,$A$2:$A$592,$A630,$B$2:$B$592,B632, $I$2:$I$592,"&gt;="&amp;$J$602,$G$2:$G$592,"&lt;="&amp;$J$603)</f>
        <v>0</v>
      </c>
      <c r="C633" s="2">
        <f>SUMIFS($H$2:$H$592,$A$2:$A$592,$A630,$B$2:$B$592,C632, $I$2:$I$592,"&gt;="&amp;$J$602,$G$2:$G$592,"&lt;="&amp;$J$603)</f>
        <v>0</v>
      </c>
      <c r="D633" s="2">
        <f>SUMIFS($H$2:$H$592,$A$2:$A$592,$A630,$B$2:$B$592,D632, $I$2:$I$592,"&gt;="&amp;$J$602,$G$2:$G$592,"&lt;="&amp;$J$603)</f>
        <v>0</v>
      </c>
      <c r="E633" s="9"/>
      <c r="F633" s="1">
        <f>SUM(A633:D633)</f>
        <v>0</v>
      </c>
      <c r="G633" s="1">
        <f>F633</f>
        <v>0</v>
      </c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1" t="s">
        <v>181</v>
      </c>
      <c r="B635" s="52"/>
      <c r="C635" s="52"/>
      <c r="D635" s="53"/>
      <c r="E635" s="7"/>
      <c r="F635" s="51" t="str">
        <f>A635</f>
        <v>PPB31405_deglyc_1K_2pQ</v>
      </c>
      <c r="G635" s="53"/>
      <c r="H635" s="7"/>
    </row>
    <row r="636" spans="1:10">
      <c r="A636" s="54" t="s">
        <v>2</v>
      </c>
      <c r="B636" s="52"/>
      <c r="C636" s="52"/>
      <c r="D636" s="53"/>
      <c r="E636" s="7"/>
      <c r="F636" s="6" t="s">
        <v>169</v>
      </c>
      <c r="G636" s="6" t="str">
        <f>F636</f>
        <v>Mean DAR w/ cut-off</v>
      </c>
      <c r="H636" s="24"/>
      <c r="I636" s="48"/>
      <c r="J636" s="49"/>
    </row>
    <row r="637" spans="1:10">
      <c r="A637" s="27">
        <v>0</v>
      </c>
      <c r="B637" s="27">
        <v>1</v>
      </c>
      <c r="C637" s="27">
        <v>2</v>
      </c>
      <c r="D637" s="27">
        <v>3</v>
      </c>
      <c r="E637" s="24"/>
      <c r="F637" s="12" t="e">
        <f>(A638*A637+B638*B637+C638*C637+D638*D637)/(A638+B638+C638+D638)</f>
        <v>#DIV/0!</v>
      </c>
      <c r="G637" s="34">
        <f>IFERROR(F637,0)</f>
        <v>0</v>
      </c>
      <c r="H637" s="32"/>
      <c r="I637" s="24"/>
      <c r="J637" s="33"/>
    </row>
    <row r="638" spans="1:10">
      <c r="A638" s="2">
        <f>SUMIFS($H$2:$H$592,$A$2:$A$592,$A635,$B$2:$B$592,A637, $I$2:$I$592,"&gt;="&amp;$J$602,$G$2:$G$592,"&lt;="&amp;$J$603)</f>
        <v>0</v>
      </c>
      <c r="B638" s="2">
        <f>SUMIFS($H$2:$H$592,$A$2:$A$592,$A635,$B$2:$B$592,B637, $I$2:$I$592,"&gt;="&amp;$J$602,$G$2:$G$592,"&lt;="&amp;$J$603)</f>
        <v>0</v>
      </c>
      <c r="C638" s="2">
        <f>SUMIFS($H$2:$H$592,$A$2:$A$592,$A635,$B$2:$B$592,C637, $I$2:$I$592,"&gt;="&amp;$J$602,$G$2:$G$592,"&lt;="&amp;$J$603)</f>
        <v>0</v>
      </c>
      <c r="D638" s="2">
        <f>SUMIFS($H$2:$H$592,$A$2:$A$592,$A635,$B$2:$B$592,D637, $I$2:$I$592,"&gt;="&amp;$J$602,$G$2:$G$592,"&lt;="&amp;$J$603)</f>
        <v>0</v>
      </c>
      <c r="E638" s="9"/>
      <c r="F638" s="1">
        <f>SUM(A638:D638)</f>
        <v>0</v>
      </c>
      <c r="G638" s="1">
        <f>F638</f>
        <v>0</v>
      </c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1" t="s">
        <v>182</v>
      </c>
      <c r="B640" s="52"/>
      <c r="C640" s="52"/>
      <c r="D640" s="53"/>
      <c r="E640" s="7"/>
      <c r="F640" s="51" t="str">
        <f>A640</f>
        <v>PPB31405_deglyc_2K_2pQ</v>
      </c>
      <c r="G640" s="53"/>
      <c r="H640" s="7"/>
    </row>
    <row r="641" spans="1:10">
      <c r="A641" s="54" t="s">
        <v>2</v>
      </c>
      <c r="B641" s="52"/>
      <c r="C641" s="52"/>
      <c r="D641" s="53"/>
      <c r="E641" s="7"/>
      <c r="F641" s="6" t="s">
        <v>169</v>
      </c>
      <c r="G641" s="6" t="str">
        <f>F641</f>
        <v>Mean DAR w/ cut-off</v>
      </c>
      <c r="H641" s="24"/>
      <c r="I641" s="48"/>
      <c r="J641" s="49"/>
    </row>
    <row r="642" spans="1:10">
      <c r="A642" s="27">
        <v>0</v>
      </c>
      <c r="B642" s="27">
        <v>1</v>
      </c>
      <c r="C642" s="27">
        <v>2</v>
      </c>
      <c r="D642" s="27">
        <v>3</v>
      </c>
      <c r="E642" s="24"/>
      <c r="F642" s="12" t="e">
        <f>(A643*A642+B643*B642+C643*C642+D643*D642)/(A643+B643+C643+D643)</f>
        <v>#DIV/0!</v>
      </c>
      <c r="G642" s="34">
        <f>IFERROR(F642,0)</f>
        <v>0</v>
      </c>
      <c r="H642" s="32"/>
      <c r="I642" s="24"/>
      <c r="J642" s="33"/>
    </row>
    <row r="643" spans="1:10">
      <c r="A643" s="2">
        <f>SUMIFS($H$2:$H$592,$A$2:$A$592,$A640,$B$2:$B$592,A642, $I$2:$I$592,"&gt;="&amp;$J$602,$G$2:$G$592,"&lt;="&amp;$J$603)</f>
        <v>0</v>
      </c>
      <c r="B643" s="2">
        <f>SUMIFS($H$2:$H$592,$A$2:$A$592,$A640,$B$2:$B$592,B642, $I$2:$I$592,"&gt;="&amp;$J$602,$G$2:$G$592,"&lt;="&amp;$J$603)</f>
        <v>0</v>
      </c>
      <c r="C643" s="2">
        <f>SUMIFS($H$2:$H$592,$A$2:$A$592,$A640,$B$2:$B$592,C642, $I$2:$I$592,"&gt;="&amp;$J$602,$G$2:$G$592,"&lt;="&amp;$J$603)</f>
        <v>0</v>
      </c>
      <c r="D643" s="2">
        <f>SUMIFS($H$2:$H$592,$A$2:$A$592,$A640,$B$2:$B$592,D642, $I$2:$I$592,"&gt;="&amp;$J$602,$G$2:$G$592,"&lt;="&amp;$J$603)</f>
        <v>0</v>
      </c>
      <c r="E643" s="9"/>
      <c r="F643" s="1">
        <f>SUM(A643:D643)</f>
        <v>0</v>
      </c>
      <c r="G643" s="1">
        <f>F643</f>
        <v>0</v>
      </c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1" t="s">
        <v>183</v>
      </c>
      <c r="B645" s="52"/>
      <c r="C645" s="52"/>
      <c r="D645" s="53"/>
      <c r="E645" s="7"/>
      <c r="F645" s="51" t="str">
        <f>A645</f>
        <v>PPB31405_deglyc_2pQ</v>
      </c>
      <c r="G645" s="53"/>
      <c r="H645" s="7"/>
    </row>
    <row r="646" spans="1:10">
      <c r="A646" s="54" t="s">
        <v>2</v>
      </c>
      <c r="B646" s="52"/>
      <c r="C646" s="52"/>
      <c r="D646" s="53"/>
      <c r="E646" s="7"/>
      <c r="F646" s="6" t="s">
        <v>169</v>
      </c>
      <c r="G646" s="6" t="str">
        <f>F646</f>
        <v>Mean DAR w/ cut-off</v>
      </c>
      <c r="H646" s="24"/>
      <c r="I646" s="48"/>
      <c r="J646" s="49"/>
    </row>
    <row r="647" spans="1:10">
      <c r="A647" s="27">
        <v>0</v>
      </c>
      <c r="B647" s="27">
        <v>1</v>
      </c>
      <c r="C647" s="27">
        <v>2</v>
      </c>
      <c r="D647" s="27">
        <v>3</v>
      </c>
      <c r="E647" s="24"/>
      <c r="F647" s="12" t="e">
        <f>(A648*A647+B648*B647+C648*C647+D648*D647)/(A648+B648+C648+D648)</f>
        <v>#DIV/0!</v>
      </c>
      <c r="G647" s="34">
        <f>IFERROR(F647,0)</f>
        <v>0</v>
      </c>
      <c r="H647" s="32"/>
      <c r="I647" s="24"/>
      <c r="J647" s="33"/>
    </row>
    <row r="648" spans="1:10">
      <c r="A648" s="2">
        <f>SUMIFS($H$2:$H$592,$A$2:$A$592,$A645,$B$2:$B$592,A647, $I$2:$I$592,"&gt;="&amp;$J$602,$G$2:$G$592,"&lt;="&amp;$J$603)</f>
        <v>0</v>
      </c>
      <c r="B648" s="2">
        <f>SUMIFS($H$2:$H$592,$A$2:$A$592,$A645,$B$2:$B$592,B647, $I$2:$I$592,"&gt;="&amp;$J$602,$G$2:$G$592,"&lt;="&amp;$J$603)</f>
        <v>0</v>
      </c>
      <c r="C648" s="2">
        <f>SUMIFS($H$2:$H$592,$A$2:$A$592,$A645,$B$2:$B$592,C647, $I$2:$I$592,"&gt;="&amp;$J$602,$G$2:$G$592,"&lt;="&amp;$J$603)</f>
        <v>0</v>
      </c>
      <c r="D648" s="2">
        <f>SUMIFS($H$2:$H$592,$A$2:$A$592,$A645,$B$2:$B$592,D647, $I$2:$I$592,"&gt;="&amp;$J$602,$G$2:$G$592,"&lt;="&amp;$J$603)</f>
        <v>0</v>
      </c>
      <c r="E648" s="9"/>
      <c r="F648" s="1">
        <f>SUM(A648:D648)</f>
        <v>0</v>
      </c>
      <c r="G648" s="1">
        <f>F648</f>
        <v>0</v>
      </c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1">
        <f>C603+C608+C613</f>
        <v>0</v>
      </c>
      <c r="G651" s="1">
        <f>G603+G608+G613+G618+G623+G628+G633+G638+G643+G648</f>
        <v>0</v>
      </c>
    </row>
  </sheetData>
  <autoFilter ref="A1:S471" xr:uid="{00000000-0009-0000-0000-000006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I646:J646"/>
    <mergeCell ref="F645:G645"/>
    <mergeCell ref="A620:D620"/>
    <mergeCell ref="I631:J631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outlinePr summaryBelow="0"/>
  </sheetPr>
  <dimension ref="A1:S651"/>
  <sheetViews>
    <sheetView zoomScale="85" zoomScaleNormal="85" workbookViewId="0">
      <pane ySplit="1" topLeftCell="A2" activePane="bottomLeft" state="frozen"/>
      <selection pane="bottomLeft" activeCell="A2" sqref="A2:XFD16"/>
    </sheetView>
  </sheetViews>
  <sheetFormatPr defaultColWidth="9.140625" defaultRowHeight="15"/>
  <cols>
    <col min="1" max="1" width="36.5703125" style="26" bestFit="1" customWidth="1"/>
    <col min="2" max="2" width="10.85546875" style="25" bestFit="1" customWidth="1"/>
    <col min="3" max="3" width="36.5703125" style="26" bestFit="1" customWidth="1"/>
    <col min="4" max="4" width="87.7109375" style="26" bestFit="1" customWidth="1"/>
    <col min="5" max="5" width="33.42578125" style="26" bestFit="1" customWidth="1"/>
    <col min="6" max="6" width="29.5703125" style="26" bestFit="1" customWidth="1"/>
    <col min="7" max="7" width="29.1406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55" customFormat="1" ht="15.75" customHeight="1">
      <c r="A2" s="55" t="str">
        <f t="shared" ref="A2:A24" si="0">C2</f>
        <v>Trastuzumab ADC_2K_loss_deglyc</v>
      </c>
      <c r="B2" s="56">
        <v>1</v>
      </c>
      <c r="C2" s="55" t="s">
        <v>19</v>
      </c>
      <c r="D2" s="55" t="s">
        <v>269</v>
      </c>
      <c r="E2" s="57">
        <v>147213.918257413</v>
      </c>
      <c r="F2" s="57">
        <v>147217.42604399999</v>
      </c>
      <c r="G2" s="58">
        <f>ABS(E2-F2)/F2*1000000</f>
        <v>23.827251170311182</v>
      </c>
      <c r="H2" s="59">
        <v>322225661.125</v>
      </c>
      <c r="I2" s="57">
        <v>100</v>
      </c>
      <c r="J2" s="57">
        <v>39.859950474511599</v>
      </c>
      <c r="K2" s="57">
        <v>108.838258098596</v>
      </c>
      <c r="L2" s="60">
        <v>30</v>
      </c>
      <c r="M2" s="60" t="s">
        <v>309</v>
      </c>
      <c r="N2" s="60">
        <v>13</v>
      </c>
      <c r="O2" s="57">
        <v>0</v>
      </c>
      <c r="P2" s="60" t="s">
        <v>310</v>
      </c>
      <c r="Q2" s="61">
        <v>14.168347755733301</v>
      </c>
      <c r="R2" s="61">
        <v>16.843579982133299</v>
      </c>
      <c r="S2" s="62">
        <v>15.18</v>
      </c>
    </row>
    <row r="3" spans="1:19" s="55" customFormat="1" ht="15.75" customHeight="1">
      <c r="A3" s="55" t="str">
        <f t="shared" si="0"/>
        <v>Trastuzumab ADC_2K_loss_deglyc</v>
      </c>
      <c r="B3" s="56">
        <v>2</v>
      </c>
      <c r="C3" s="55" t="s">
        <v>19</v>
      </c>
      <c r="D3" s="55" t="s">
        <v>247</v>
      </c>
      <c r="E3" s="57">
        <v>147977.641830582</v>
      </c>
      <c r="F3" s="57">
        <v>147979.44304400001</v>
      </c>
      <c r="G3" s="58">
        <v>12.172199773846801</v>
      </c>
      <c r="H3" s="59">
        <v>130416572.625</v>
      </c>
      <c r="I3" s="57">
        <v>40.473676839466997</v>
      </c>
      <c r="J3" s="57">
        <v>16.132787543425401</v>
      </c>
      <c r="K3" s="57">
        <v>112.723603682796</v>
      </c>
      <c r="L3" s="60">
        <v>27</v>
      </c>
      <c r="M3" s="60" t="s">
        <v>311</v>
      </c>
      <c r="N3" s="60">
        <v>11</v>
      </c>
      <c r="O3" s="57">
        <v>763.72357316891396</v>
      </c>
      <c r="P3" s="60" t="s">
        <v>312</v>
      </c>
      <c r="Q3" s="61">
        <v>14.339320940266701</v>
      </c>
      <c r="R3" s="61">
        <v>16.6818061976</v>
      </c>
      <c r="S3" s="62">
        <v>15.18</v>
      </c>
    </row>
    <row r="4" spans="1:19" s="55" customFormat="1" ht="15.75" customHeight="1">
      <c r="A4" s="55" t="str">
        <f t="shared" si="0"/>
        <v>Trastuzumab ADC_2K_loss_deglyc</v>
      </c>
      <c r="B4" s="56">
        <v>0</v>
      </c>
      <c r="C4" s="55" t="s">
        <v>19</v>
      </c>
      <c r="D4" s="55" t="s">
        <v>313</v>
      </c>
      <c r="E4" s="57">
        <v>146452.04869579</v>
      </c>
      <c r="F4" s="57">
        <v>146455.42604399999</v>
      </c>
      <c r="G4" s="58">
        <f>ABS(E4-F4)/F4*1000000</f>
        <v>23.06058779261992</v>
      </c>
      <c r="H4" s="59">
        <v>74972313.5625</v>
      </c>
      <c r="I4" s="57">
        <v>23.267021402771501</v>
      </c>
      <c r="J4" s="57">
        <v>9.2742232080387303</v>
      </c>
      <c r="K4" s="57">
        <v>73.4090909369</v>
      </c>
      <c r="L4" s="60">
        <v>20</v>
      </c>
      <c r="M4" s="60" t="s">
        <v>314</v>
      </c>
      <c r="N4" s="60">
        <v>11</v>
      </c>
      <c r="O4" s="57">
        <v>-761.86956162319996</v>
      </c>
      <c r="P4" s="60" t="s">
        <v>315</v>
      </c>
      <c r="Q4" s="61">
        <v>14.339320940266701</v>
      </c>
      <c r="R4" s="61">
        <v>16.843579982133299</v>
      </c>
      <c r="S4" s="62">
        <v>15.18</v>
      </c>
    </row>
    <row r="5" spans="1:19" s="55" customFormat="1" ht="15.75" customHeight="1">
      <c r="A5" s="55" t="str">
        <f t="shared" si="0"/>
        <v>Trastuzumab ADC_2K_loss_deglyc_A2G0F</v>
      </c>
      <c r="B5" s="56">
        <v>1</v>
      </c>
      <c r="C5" s="55" t="s">
        <v>25</v>
      </c>
      <c r="D5" s="55" t="s">
        <v>269</v>
      </c>
      <c r="E5" s="57">
        <v>148660.69936956899</v>
      </c>
      <c r="F5" s="57">
        <v>148661.746044</v>
      </c>
      <c r="G5" s="58">
        <f>ABS(E5-F5)/F5*1000000</f>
        <v>7.0406440046844789</v>
      </c>
      <c r="H5" s="59">
        <v>62218598.6875</v>
      </c>
      <c r="I5" s="57">
        <v>19.309014135252099</v>
      </c>
      <c r="J5" s="57">
        <v>7.6965634714279201</v>
      </c>
      <c r="K5" s="57">
        <v>70.4019158663681</v>
      </c>
      <c r="L5" s="60">
        <v>17</v>
      </c>
      <c r="M5" s="60" t="s">
        <v>316</v>
      </c>
      <c r="N5" s="60">
        <v>10</v>
      </c>
      <c r="O5" s="57">
        <v>1446.7811121564901</v>
      </c>
      <c r="P5" s="60" t="s">
        <v>312</v>
      </c>
      <c r="Q5" s="61">
        <v>14.339320940266701</v>
      </c>
      <c r="R5" s="61">
        <v>16.6818061976</v>
      </c>
      <c r="S5" s="62">
        <v>15.18</v>
      </c>
    </row>
    <row r="6" spans="1:19" s="55" customFormat="1" ht="15.75" customHeight="1">
      <c r="A6" s="55" t="str">
        <f t="shared" si="0"/>
        <v>Trastuzumab ADC_2K_loss_deglyc_A2G1F</v>
      </c>
      <c r="B6" s="56">
        <v>1</v>
      </c>
      <c r="C6" s="55" t="s">
        <v>29</v>
      </c>
      <c r="D6" s="55" t="s">
        <v>269</v>
      </c>
      <c r="E6" s="57">
        <v>148820.84655273001</v>
      </c>
      <c r="F6" s="57">
        <v>148823.88604400001</v>
      </c>
      <c r="G6" s="58">
        <f>ABS(E6-F6)/F6*1000000</f>
        <v>20.423410184980565</v>
      </c>
      <c r="H6" s="59">
        <v>40865347.9375</v>
      </c>
      <c r="I6" s="57">
        <v>12.682214109083899</v>
      </c>
      <c r="J6" s="57">
        <v>5.05512426295238</v>
      </c>
      <c r="K6" s="57">
        <v>98.077078334968306</v>
      </c>
      <c r="L6" s="60">
        <v>22</v>
      </c>
      <c r="M6" s="60" t="s">
        <v>317</v>
      </c>
      <c r="N6" s="60">
        <v>6</v>
      </c>
      <c r="O6" s="57">
        <v>1606.9282953168399</v>
      </c>
      <c r="P6" s="60" t="s">
        <v>312</v>
      </c>
      <c r="Q6" s="61">
        <v>14.339320940266701</v>
      </c>
      <c r="R6" s="61">
        <v>16.6818061976</v>
      </c>
      <c r="S6" s="62">
        <v>15.51</v>
      </c>
    </row>
    <row r="7" spans="1:19" s="55" customFormat="1" ht="15.75" customHeight="1">
      <c r="A7" s="55">
        <f t="shared" si="0"/>
        <v>0</v>
      </c>
      <c r="B7" s="56"/>
      <c r="E7" s="57">
        <v>147281.28243058501</v>
      </c>
      <c r="F7" s="57">
        <v>0</v>
      </c>
      <c r="G7" s="58">
        <v>0</v>
      </c>
      <c r="H7" s="59">
        <v>33724651.75</v>
      </c>
      <c r="I7" s="57">
        <v>10.4661594829272</v>
      </c>
      <c r="J7" s="57">
        <v>4.17180598647818</v>
      </c>
      <c r="K7" s="57">
        <v>95.151766530421398</v>
      </c>
      <c r="L7" s="60">
        <v>27</v>
      </c>
      <c r="M7" s="60" t="s">
        <v>318</v>
      </c>
      <c r="N7" s="60">
        <v>7</v>
      </c>
      <c r="O7" s="57">
        <v>67.364173172623893</v>
      </c>
      <c r="P7" s="60" t="s">
        <v>319</v>
      </c>
      <c r="Q7" s="61">
        <v>14.339320940266701</v>
      </c>
      <c r="R7" s="61">
        <v>16.345494935733299</v>
      </c>
      <c r="S7" s="62">
        <v>15.34</v>
      </c>
    </row>
    <row r="8" spans="1:19" s="55" customFormat="1" ht="15.75" customHeight="1">
      <c r="A8" s="55">
        <f t="shared" si="0"/>
        <v>0</v>
      </c>
      <c r="B8" s="56"/>
      <c r="E8" s="57">
        <v>148823.170175704</v>
      </c>
      <c r="F8" s="57">
        <v>0</v>
      </c>
      <c r="G8" s="58">
        <v>0</v>
      </c>
      <c r="H8" s="59">
        <v>31110308</v>
      </c>
      <c r="I8" s="57">
        <v>9.6548201328120005</v>
      </c>
      <c r="J8" s="57">
        <v>3.8484065233420401</v>
      </c>
      <c r="K8" s="57">
        <v>86.645507388853801</v>
      </c>
      <c r="L8" s="60">
        <v>20</v>
      </c>
      <c r="M8" s="60" t="s">
        <v>320</v>
      </c>
      <c r="N8" s="60">
        <v>3</v>
      </c>
      <c r="O8" s="57">
        <v>1609.2519182915901</v>
      </c>
      <c r="P8" s="60" t="s">
        <v>321</v>
      </c>
      <c r="Q8" s="61">
        <v>14.508544984</v>
      </c>
      <c r="R8" s="61">
        <v>15.5076154570667</v>
      </c>
      <c r="S8" s="62">
        <v>15.01</v>
      </c>
    </row>
    <row r="9" spans="1:19" s="55" customFormat="1" ht="15.75" customHeight="1">
      <c r="A9" s="55" t="str">
        <f t="shared" si="0"/>
        <v>Trastuzumab ADC_1K_loss_deglyc</v>
      </c>
      <c r="B9" s="56">
        <v>1</v>
      </c>
      <c r="C9" s="55" t="s">
        <v>61</v>
      </c>
      <c r="D9" s="55" t="s">
        <v>280</v>
      </c>
      <c r="E9" s="57">
        <v>147365.96031859401</v>
      </c>
      <c r="F9" s="57">
        <v>147363.629044</v>
      </c>
      <c r="G9" s="58">
        <v>15.8196274720204</v>
      </c>
      <c r="H9" s="59">
        <v>23409276.3125</v>
      </c>
      <c r="I9" s="57">
        <v>7.2648702042012498</v>
      </c>
      <c r="J9" s="57">
        <v>2.89577366543217</v>
      </c>
      <c r="K9" s="57">
        <v>67.038696503620599</v>
      </c>
      <c r="L9" s="60">
        <v>18</v>
      </c>
      <c r="M9" s="60" t="s">
        <v>43</v>
      </c>
      <c r="N9" s="60">
        <v>8</v>
      </c>
      <c r="O9" s="57">
        <v>152.042061181652</v>
      </c>
      <c r="P9" s="60" t="s">
        <v>322</v>
      </c>
      <c r="Q9" s="61">
        <v>14.508544984</v>
      </c>
      <c r="R9" s="61">
        <v>16.5145786456</v>
      </c>
      <c r="S9" s="62">
        <v>15.34</v>
      </c>
    </row>
    <row r="10" spans="1:19" s="55" customFormat="1" ht="15.75" customHeight="1">
      <c r="A10" s="55">
        <f t="shared" si="0"/>
        <v>0</v>
      </c>
      <c r="B10" s="56"/>
      <c r="E10" s="57">
        <v>149578.54019229001</v>
      </c>
      <c r="F10" s="57">
        <v>0</v>
      </c>
      <c r="G10" s="58">
        <v>0</v>
      </c>
      <c r="H10" s="59">
        <v>16714546.875</v>
      </c>
      <c r="I10" s="57">
        <v>5.1872178530464002</v>
      </c>
      <c r="J10" s="57">
        <v>2.0676224672293202</v>
      </c>
      <c r="K10" s="57">
        <v>57.0267027892586</v>
      </c>
      <c r="L10" s="60">
        <v>14</v>
      </c>
      <c r="M10" s="60" t="s">
        <v>323</v>
      </c>
      <c r="N10" s="60">
        <v>5</v>
      </c>
      <c r="O10" s="57">
        <v>2364.6219348767199</v>
      </c>
      <c r="P10" s="60" t="s">
        <v>324</v>
      </c>
      <c r="Q10" s="61">
        <v>14.8428828717333</v>
      </c>
      <c r="R10" s="61">
        <v>16.182885797600001</v>
      </c>
      <c r="S10" s="62">
        <v>15.51</v>
      </c>
    </row>
    <row r="11" spans="1:19" s="55" customFormat="1" ht="15.75" customHeight="1">
      <c r="A11" s="55">
        <f t="shared" si="0"/>
        <v>0</v>
      </c>
      <c r="B11" s="56"/>
      <c r="E11" s="57">
        <v>73218.9479186627</v>
      </c>
      <c r="F11" s="57">
        <v>0</v>
      </c>
      <c r="G11" s="58">
        <v>0</v>
      </c>
      <c r="H11" s="59">
        <v>12868946.921875</v>
      </c>
      <c r="I11" s="57">
        <v>3.9937684554980701</v>
      </c>
      <c r="J11" s="57">
        <v>1.5919141284281999</v>
      </c>
      <c r="K11" s="57">
        <v>83.5019372147176</v>
      </c>
      <c r="L11" s="60">
        <v>23</v>
      </c>
      <c r="M11" s="60" t="s">
        <v>325</v>
      </c>
      <c r="N11" s="60">
        <v>8</v>
      </c>
      <c r="O11" s="57">
        <v>-73994.970338750005</v>
      </c>
      <c r="P11" s="60" t="s">
        <v>312</v>
      </c>
      <c r="Q11" s="61">
        <v>14.339320940266701</v>
      </c>
      <c r="R11" s="61">
        <v>16.6818061976</v>
      </c>
      <c r="S11" s="62">
        <v>15.01</v>
      </c>
    </row>
    <row r="12" spans="1:19" s="55" customFormat="1" ht="15.75" customHeight="1">
      <c r="A12" s="55">
        <f t="shared" si="0"/>
        <v>0</v>
      </c>
      <c r="B12" s="56"/>
      <c r="E12" s="57">
        <v>148054.12104889401</v>
      </c>
      <c r="F12" s="57">
        <v>0</v>
      </c>
      <c r="G12" s="58">
        <v>0</v>
      </c>
      <c r="H12" s="59">
        <v>9979482.25</v>
      </c>
      <c r="I12" s="57">
        <v>3.0970476101887301</v>
      </c>
      <c r="J12" s="57">
        <v>1.23448164359327</v>
      </c>
      <c r="K12" s="57">
        <v>54.600168202854597</v>
      </c>
      <c r="L12" s="60">
        <v>11</v>
      </c>
      <c r="M12" s="60" t="s">
        <v>145</v>
      </c>
      <c r="N12" s="60">
        <v>3</v>
      </c>
      <c r="O12" s="57">
        <v>840.20279148159898</v>
      </c>
      <c r="P12" s="60" t="s">
        <v>324</v>
      </c>
      <c r="Q12" s="61">
        <v>14.8428828717333</v>
      </c>
      <c r="R12" s="61">
        <v>16.182885797600001</v>
      </c>
      <c r="S12" s="62">
        <v>15.18</v>
      </c>
    </row>
    <row r="13" spans="1:19" s="55" customFormat="1" ht="15.75" customHeight="1">
      <c r="A13" s="55" t="str">
        <f t="shared" si="0"/>
        <v>Trastuzumab ADC_2K_loss_deglyc</v>
      </c>
      <c r="B13" s="56">
        <v>0</v>
      </c>
      <c r="C13" s="55" t="s">
        <v>19</v>
      </c>
      <c r="D13" s="55" t="s">
        <v>290</v>
      </c>
      <c r="E13" s="57">
        <v>146518.26517605101</v>
      </c>
      <c r="F13" s="57">
        <v>146511.58404399999</v>
      </c>
      <c r="G13" s="58">
        <v>45.599311748879003</v>
      </c>
      <c r="H13" s="59">
        <v>8845797</v>
      </c>
      <c r="I13" s="57">
        <v>2.7452181201874</v>
      </c>
      <c r="J13" s="57">
        <v>1.0942425831240199</v>
      </c>
      <c r="K13" s="57">
        <v>46.331556460873202</v>
      </c>
      <c r="L13" s="60">
        <v>10</v>
      </c>
      <c r="M13" s="60" t="s">
        <v>157</v>
      </c>
      <c r="N13" s="60">
        <v>4</v>
      </c>
      <c r="O13" s="57">
        <v>-695.65308136198996</v>
      </c>
      <c r="P13" s="60" t="s">
        <v>326</v>
      </c>
      <c r="Q13" s="61">
        <v>14.508544984</v>
      </c>
      <c r="R13" s="61">
        <v>15.8445665890667</v>
      </c>
      <c r="S13" s="62">
        <v>15.34</v>
      </c>
    </row>
    <row r="14" spans="1:19" s="55" customFormat="1" ht="15.75" customHeight="1">
      <c r="A14" s="55">
        <f t="shared" si="0"/>
        <v>0</v>
      </c>
      <c r="B14" s="56"/>
      <c r="E14" s="57">
        <v>150268.91881359799</v>
      </c>
      <c r="F14" s="57">
        <v>0</v>
      </c>
      <c r="G14" s="58">
        <v>0</v>
      </c>
      <c r="H14" s="59">
        <v>8129341.875</v>
      </c>
      <c r="I14" s="57">
        <v>2.5228722792140101</v>
      </c>
      <c r="J14" s="57">
        <v>1.00561564102989</v>
      </c>
      <c r="K14" s="57">
        <v>45.082268103319301</v>
      </c>
      <c r="L14" s="60">
        <v>10</v>
      </c>
      <c r="M14" s="60" t="s">
        <v>288</v>
      </c>
      <c r="N14" s="60">
        <v>4</v>
      </c>
      <c r="O14" s="57">
        <v>3055.0005561856401</v>
      </c>
      <c r="P14" s="60" t="s">
        <v>327</v>
      </c>
      <c r="Q14" s="61">
        <v>14.6679997288</v>
      </c>
      <c r="R14" s="61">
        <v>16.345494935733299</v>
      </c>
      <c r="S14" s="62">
        <v>15.18</v>
      </c>
    </row>
    <row r="15" spans="1:19" s="55" customFormat="1" ht="15.75" customHeight="1">
      <c r="A15" s="55">
        <f t="shared" si="0"/>
        <v>0</v>
      </c>
      <c r="B15" s="56"/>
      <c r="E15" s="57">
        <v>73982.534736466405</v>
      </c>
      <c r="F15" s="57">
        <v>0</v>
      </c>
      <c r="G15" s="58">
        <v>0</v>
      </c>
      <c r="H15" s="59">
        <v>7355489.1875</v>
      </c>
      <c r="I15" s="57">
        <v>2.2827136996355502</v>
      </c>
      <c r="J15" s="57">
        <v>0.909888550149622</v>
      </c>
      <c r="K15" s="57">
        <v>72.511725264979304</v>
      </c>
      <c r="L15" s="60">
        <v>15</v>
      </c>
      <c r="M15" s="60" t="s">
        <v>328</v>
      </c>
      <c r="N15" s="60">
        <v>4</v>
      </c>
      <c r="O15" s="57">
        <v>-73231.383520946401</v>
      </c>
      <c r="P15" s="60" t="s">
        <v>329</v>
      </c>
      <c r="Q15" s="61">
        <v>14.339320940266701</v>
      </c>
      <c r="R15" s="61">
        <v>15.678951651466701</v>
      </c>
      <c r="S15" s="62">
        <v>14.84</v>
      </c>
    </row>
    <row r="16" spans="1:19" s="55" customFormat="1" ht="15.75" customHeight="1">
      <c r="A16" s="55">
        <f t="shared" si="0"/>
        <v>0</v>
      </c>
      <c r="B16" s="56"/>
      <c r="E16" s="57">
        <v>73230.590087047603</v>
      </c>
      <c r="F16" s="57">
        <v>0</v>
      </c>
      <c r="G16" s="58">
        <v>0</v>
      </c>
      <c r="H16" s="59">
        <v>6434921</v>
      </c>
      <c r="I16" s="57">
        <v>1.99702314042975</v>
      </c>
      <c r="J16" s="57">
        <v>0.79601243473983696</v>
      </c>
      <c r="K16" s="57">
        <v>55.482775209306702</v>
      </c>
      <c r="L16" s="60">
        <v>15</v>
      </c>
      <c r="M16" s="60" t="s">
        <v>330</v>
      </c>
      <c r="N16" s="60">
        <v>5</v>
      </c>
      <c r="O16" s="57">
        <v>-73983.328170365101</v>
      </c>
      <c r="P16" s="60" t="s">
        <v>331</v>
      </c>
      <c r="Q16" s="61">
        <v>14.508544984</v>
      </c>
      <c r="R16" s="61">
        <v>16.182885797600001</v>
      </c>
      <c r="S16" s="62">
        <v>15.01</v>
      </c>
    </row>
    <row r="17" spans="1:19" ht="15.75" customHeight="1">
      <c r="A17">
        <f t="shared" si="0"/>
        <v>0</v>
      </c>
      <c r="E17" s="20">
        <v>119055.428382058</v>
      </c>
      <c r="F17" s="20">
        <v>0</v>
      </c>
      <c r="G17" s="29">
        <v>0</v>
      </c>
      <c r="H17" s="21">
        <v>3882150</v>
      </c>
      <c r="I17" s="20">
        <v>1.2047923435494201</v>
      </c>
      <c r="J17" s="20">
        <v>0.48022963145950698</v>
      </c>
      <c r="K17" s="20">
        <v>37.530917853927598</v>
      </c>
      <c r="L17" s="22">
        <v>10</v>
      </c>
      <c r="M17" s="22" t="s">
        <v>332</v>
      </c>
      <c r="N17" s="22">
        <v>3</v>
      </c>
      <c r="O17" s="20">
        <v>-28158.489875355299</v>
      </c>
      <c r="P17" s="22" t="s">
        <v>327</v>
      </c>
      <c r="Q17" s="30">
        <v>14.6679997288</v>
      </c>
      <c r="R17" s="30">
        <v>16.345494935733299</v>
      </c>
      <c r="S17" s="31">
        <v>16.010000000000002</v>
      </c>
    </row>
    <row r="18" spans="1:19" ht="15.75" customHeight="1">
      <c r="A18">
        <f t="shared" si="0"/>
        <v>0</v>
      </c>
      <c r="E18" s="20">
        <v>73241.069769621099</v>
      </c>
      <c r="F18" s="20">
        <v>0</v>
      </c>
      <c r="G18" s="29">
        <v>0</v>
      </c>
      <c r="H18" s="21">
        <v>3806723.125</v>
      </c>
      <c r="I18" s="20">
        <v>1.1813842398665799</v>
      </c>
      <c r="J18" s="20">
        <v>0.47089917292450401</v>
      </c>
      <c r="K18" s="20">
        <v>45.9208530887175</v>
      </c>
      <c r="L18" s="22">
        <v>22</v>
      </c>
      <c r="M18" s="22" t="s">
        <v>333</v>
      </c>
      <c r="N18" s="22">
        <v>4</v>
      </c>
      <c r="O18" s="20">
        <v>-73972.848487791707</v>
      </c>
      <c r="P18" s="22" t="s">
        <v>334</v>
      </c>
      <c r="Q18" s="30">
        <v>14.168347755733301</v>
      </c>
      <c r="R18" s="30">
        <v>16.5145786456</v>
      </c>
      <c r="S18" s="31">
        <v>15.34</v>
      </c>
    </row>
    <row r="19" spans="1:19" ht="15.75" customHeight="1">
      <c r="A19">
        <f t="shared" si="0"/>
        <v>0</v>
      </c>
      <c r="E19" s="20">
        <v>62764.473262147301</v>
      </c>
      <c r="F19" s="20">
        <v>0</v>
      </c>
      <c r="G19" s="29">
        <v>0</v>
      </c>
      <c r="H19" s="21">
        <v>3425668.125</v>
      </c>
      <c r="I19" s="20">
        <v>1.0631270602745799</v>
      </c>
      <c r="J19" s="20">
        <v>0.42376191970658</v>
      </c>
      <c r="K19" s="20">
        <v>64.401930693342607</v>
      </c>
      <c r="L19" s="22">
        <v>15</v>
      </c>
      <c r="M19" s="22" t="s">
        <v>335</v>
      </c>
      <c r="N19" s="22">
        <v>3</v>
      </c>
      <c r="O19" s="20">
        <v>-84449.444995265498</v>
      </c>
      <c r="P19" s="22" t="s">
        <v>336</v>
      </c>
      <c r="Q19" s="30">
        <v>15.0060089533333</v>
      </c>
      <c r="R19" s="30">
        <v>16.0152991221333</v>
      </c>
      <c r="S19" s="31">
        <v>15.51</v>
      </c>
    </row>
    <row r="20" spans="1:19" ht="15.75" customHeight="1">
      <c r="A20">
        <f t="shared" si="0"/>
        <v>0</v>
      </c>
      <c r="E20" s="20">
        <v>54921.806724511298</v>
      </c>
      <c r="F20" s="20">
        <v>0</v>
      </c>
      <c r="G20" s="29">
        <v>0</v>
      </c>
      <c r="H20" s="21">
        <v>2275340.6875</v>
      </c>
      <c r="I20" s="20">
        <v>0.70613266372697403</v>
      </c>
      <c r="J20" s="20">
        <v>0.28146413004592202</v>
      </c>
      <c r="K20" s="20">
        <v>39.854480054534299</v>
      </c>
      <c r="L20" s="22">
        <v>9</v>
      </c>
      <c r="M20" s="22" t="s">
        <v>337</v>
      </c>
      <c r="N20" s="22">
        <v>3</v>
      </c>
      <c r="O20" s="20">
        <v>-92292.111532901501</v>
      </c>
      <c r="P20" s="22" t="s">
        <v>324</v>
      </c>
      <c r="Q20" s="30">
        <v>14.8428828717333</v>
      </c>
      <c r="R20" s="30">
        <v>16.182885797600001</v>
      </c>
      <c r="S20" s="31">
        <v>15.51</v>
      </c>
    </row>
    <row r="21" spans="1:19" ht="15.75" customHeight="1">
      <c r="A21">
        <f t="shared" si="0"/>
        <v>0</v>
      </c>
      <c r="E21" s="20">
        <v>71484.713736666701</v>
      </c>
      <c r="F21" s="20">
        <v>0</v>
      </c>
      <c r="G21" s="29">
        <v>0</v>
      </c>
      <c r="H21" s="21">
        <v>2250314.0625</v>
      </c>
      <c r="I21" s="20">
        <v>0.69836587331619804</v>
      </c>
      <c r="J21" s="20">
        <v>0.27836829123472701</v>
      </c>
      <c r="K21" s="20">
        <v>37.9683795743586</v>
      </c>
      <c r="L21" s="22">
        <v>7</v>
      </c>
      <c r="M21" s="22" t="s">
        <v>338</v>
      </c>
      <c r="N21" s="22">
        <v>3</v>
      </c>
      <c r="O21" s="20">
        <v>-75729.204520746105</v>
      </c>
      <c r="P21" s="22" t="s">
        <v>339</v>
      </c>
      <c r="Q21" s="30">
        <v>14.6679997288</v>
      </c>
      <c r="R21" s="30">
        <v>15.678951651466701</v>
      </c>
      <c r="S21" s="31">
        <v>15.18</v>
      </c>
    </row>
    <row r="22" spans="1:19" ht="15.75" customHeight="1">
      <c r="A22">
        <f t="shared" si="0"/>
        <v>0</v>
      </c>
      <c r="E22" s="20">
        <v>73119.053173931999</v>
      </c>
      <c r="F22" s="20">
        <v>0</v>
      </c>
      <c r="G22" s="29">
        <v>0</v>
      </c>
      <c r="H22" s="21">
        <v>1670983.75</v>
      </c>
      <c r="I22" s="20">
        <v>0.51857561529971696</v>
      </c>
      <c r="J22" s="20">
        <v>0.20670398343136101</v>
      </c>
      <c r="K22" s="20">
        <v>38.123752742226401</v>
      </c>
      <c r="L22" s="22">
        <v>9</v>
      </c>
      <c r="M22" s="22" t="s">
        <v>340</v>
      </c>
      <c r="N22" s="22">
        <v>3</v>
      </c>
      <c r="O22" s="20">
        <v>-74094.865083480807</v>
      </c>
      <c r="P22" s="22" t="s">
        <v>341</v>
      </c>
      <c r="Q22" s="30">
        <v>14.168347755733301</v>
      </c>
      <c r="R22" s="30">
        <v>15.342267531199999</v>
      </c>
      <c r="S22" s="31">
        <v>14.67</v>
      </c>
    </row>
    <row r="23" spans="1:19" ht="15.75" customHeight="1">
      <c r="A23">
        <f t="shared" si="0"/>
        <v>0</v>
      </c>
      <c r="E23" s="20">
        <v>42278.143329462699</v>
      </c>
      <c r="F23" s="20">
        <v>0</v>
      </c>
      <c r="G23" s="29">
        <v>0</v>
      </c>
      <c r="H23" s="21">
        <v>1001024.375</v>
      </c>
      <c r="I23" s="20">
        <v>0.31065942370696398</v>
      </c>
      <c r="J23" s="20">
        <v>0.12382869243399899</v>
      </c>
      <c r="K23" s="20">
        <v>28.3141004263356</v>
      </c>
      <c r="L23" s="22">
        <v>8</v>
      </c>
      <c r="M23" s="22" t="s">
        <v>342</v>
      </c>
      <c r="N23" s="22">
        <v>3</v>
      </c>
      <c r="O23" s="20">
        <v>-104935.77492795</v>
      </c>
      <c r="P23" s="22" t="s">
        <v>343</v>
      </c>
      <c r="Q23" s="30">
        <v>14.508544984</v>
      </c>
      <c r="R23" s="30">
        <v>16.6818061976</v>
      </c>
      <c r="S23" s="31">
        <v>15.01</v>
      </c>
    </row>
    <row r="24" spans="1:19" ht="15.75" customHeight="1">
      <c r="A24">
        <f t="shared" si="0"/>
        <v>0</v>
      </c>
      <c r="E24" s="20">
        <v>37817.007403301701</v>
      </c>
      <c r="F24" s="20">
        <v>0</v>
      </c>
      <c r="G24" s="29">
        <v>0</v>
      </c>
      <c r="H24" s="21">
        <v>811075.109375</v>
      </c>
      <c r="I24" s="20">
        <v>0.25171028480053398</v>
      </c>
      <c r="J24" s="20">
        <v>0.100331594860745</v>
      </c>
      <c r="K24" s="20">
        <v>38.336006326247201</v>
      </c>
      <c r="L24" s="22">
        <v>6</v>
      </c>
      <c r="M24" s="22" t="s">
        <v>165</v>
      </c>
      <c r="N24" s="22">
        <v>4</v>
      </c>
      <c r="O24" s="20">
        <v>-109396.910854111</v>
      </c>
      <c r="P24" s="22" t="s">
        <v>344</v>
      </c>
      <c r="Q24" s="30">
        <v>13.670885118933301</v>
      </c>
      <c r="R24" s="30">
        <v>14.8428828717333</v>
      </c>
      <c r="S24" s="31">
        <v>14.17</v>
      </c>
    </row>
    <row r="25" spans="1:19" ht="15.75" customHeight="1">
      <c r="E25" s="20"/>
      <c r="F25" s="20"/>
      <c r="G25" s="29"/>
      <c r="H25" s="21"/>
      <c r="I25" s="20"/>
      <c r="J25" s="20"/>
      <c r="K25" s="20"/>
      <c r="L25" s="22"/>
      <c r="M25" s="22"/>
      <c r="N25" s="22"/>
      <c r="O25" s="20"/>
      <c r="P25" s="22"/>
      <c r="Q25" s="30"/>
      <c r="R25" s="30"/>
      <c r="S25" s="31"/>
    </row>
    <row r="26" spans="1:19" ht="15.75" customHeight="1">
      <c r="E26" s="20"/>
      <c r="F26" s="20"/>
      <c r="G26" s="29"/>
      <c r="H26" s="21"/>
      <c r="I26" s="20"/>
      <c r="J26" s="20"/>
      <c r="K26" s="20"/>
      <c r="L26" s="22"/>
      <c r="M26" s="22"/>
      <c r="N26" s="22"/>
      <c r="O26" s="20"/>
      <c r="P26" s="22"/>
      <c r="Q26" s="30"/>
      <c r="R26" s="30"/>
      <c r="S26" s="31"/>
    </row>
    <row r="27" spans="1:19" ht="15.75" customHeight="1">
      <c r="E27" s="20"/>
      <c r="F27" s="20"/>
      <c r="G27" s="29"/>
      <c r="H27" s="21"/>
      <c r="I27" s="20"/>
      <c r="J27" s="20"/>
      <c r="K27" s="20"/>
      <c r="L27" s="22"/>
      <c r="M27" s="22"/>
      <c r="N27" s="22"/>
      <c r="O27" s="20"/>
      <c r="P27" s="22"/>
      <c r="Q27" s="30"/>
      <c r="R27" s="30"/>
      <c r="S27" s="31"/>
    </row>
    <row r="28" spans="1:19" ht="15.75" customHeight="1">
      <c r="E28" s="20"/>
      <c r="F28" s="20"/>
      <c r="G28" s="29"/>
      <c r="H28" s="21"/>
      <c r="I28" s="20"/>
      <c r="J28" s="20"/>
      <c r="K28" s="20"/>
      <c r="L28" s="22"/>
      <c r="M28" s="22"/>
      <c r="N28" s="22"/>
      <c r="O28" s="20"/>
      <c r="P28" s="22"/>
      <c r="Q28" s="30"/>
      <c r="R28" s="30"/>
      <c r="S28" s="31"/>
    </row>
    <row r="29" spans="1:19" ht="15.75" customHeight="1">
      <c r="E29" s="20"/>
      <c r="F29" s="20"/>
      <c r="G29" s="29"/>
      <c r="H29" s="21"/>
      <c r="I29" s="20"/>
      <c r="J29" s="20"/>
      <c r="K29" s="20"/>
      <c r="L29" s="22"/>
      <c r="M29" s="22"/>
      <c r="N29" s="22"/>
      <c r="O29" s="20"/>
      <c r="P29" s="22"/>
      <c r="Q29" s="30"/>
      <c r="R29" s="30"/>
      <c r="S29" s="31"/>
    </row>
    <row r="30" spans="1:19" ht="15.75" customHeight="1">
      <c r="E30" s="20"/>
      <c r="F30" s="20"/>
      <c r="G30" s="29"/>
      <c r="H30" s="21"/>
      <c r="I30" s="20"/>
      <c r="J30" s="20"/>
      <c r="K30" s="20"/>
      <c r="L30" s="22"/>
      <c r="M30" s="22"/>
      <c r="N30" s="22"/>
      <c r="O30" s="20"/>
      <c r="P30" s="22"/>
      <c r="Q30" s="30"/>
      <c r="R30" s="30"/>
      <c r="S30" s="31"/>
    </row>
    <row r="31" spans="1:19" ht="15.75" customHeight="1">
      <c r="E31" s="20"/>
      <c r="F31" s="20"/>
      <c r="G31" s="29"/>
      <c r="H31" s="21"/>
      <c r="I31" s="20"/>
      <c r="J31" s="20"/>
      <c r="K31" s="20"/>
      <c r="L31" s="22"/>
      <c r="M31" s="22"/>
      <c r="N31" s="22"/>
      <c r="O31" s="20"/>
      <c r="P31" s="22"/>
      <c r="Q31" s="30"/>
      <c r="R31" s="30"/>
      <c r="S31" s="31"/>
    </row>
    <row r="32" spans="1:19" ht="15.75" customHeight="1">
      <c r="E32" s="20"/>
      <c r="F32" s="20"/>
      <c r="G32" s="29"/>
      <c r="H32" s="21"/>
      <c r="I32" s="20"/>
      <c r="J32" s="20"/>
      <c r="K32" s="20"/>
      <c r="L32" s="22"/>
      <c r="M32" s="22"/>
      <c r="N32" s="22"/>
      <c r="O32" s="20"/>
      <c r="P32" s="22"/>
      <c r="Q32" s="30"/>
      <c r="R32" s="30"/>
      <c r="S32" s="31"/>
    </row>
    <row r="33" spans="5:19" ht="15.75" customHeight="1">
      <c r="E33" s="20"/>
      <c r="F33" s="20"/>
      <c r="G33" s="29"/>
      <c r="H33" s="21"/>
      <c r="I33" s="20"/>
      <c r="J33" s="20"/>
      <c r="K33" s="20"/>
      <c r="L33" s="22"/>
      <c r="M33" s="22"/>
      <c r="N33" s="22"/>
      <c r="O33" s="20"/>
      <c r="P33" s="22"/>
      <c r="Q33" s="30"/>
      <c r="R33" s="30"/>
      <c r="S33" s="31"/>
    </row>
    <row r="34" spans="5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5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5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5:19" ht="15.75" customHeight="1"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5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5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5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5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5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5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5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5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5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5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5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18"/>
      <c r="F55" s="18"/>
      <c r="G55" s="18"/>
      <c r="H55" s="23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spans="5:19" ht="15.75" customHeight="1">
      <c r="E56" s="18"/>
      <c r="F56" s="18"/>
      <c r="G56" s="18"/>
      <c r="H56" s="23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5:19" ht="15.75" customHeight="1">
      <c r="E57" s="18"/>
      <c r="F57" s="18"/>
      <c r="G57" s="18"/>
      <c r="H57" s="2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5:19" ht="15.75" customHeight="1">
      <c r="E58" s="18"/>
      <c r="F58" s="18"/>
      <c r="G58" s="18"/>
      <c r="H58" s="23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5:19" ht="15.75" customHeight="1">
      <c r="E59" s="18"/>
      <c r="F59" s="18"/>
      <c r="G59" s="18"/>
      <c r="H59" s="2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5:19" ht="15.75" customHeight="1">
      <c r="E60" s="18"/>
      <c r="F60" s="18"/>
      <c r="G60" s="18"/>
      <c r="H60" s="23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5:19" ht="15.75" customHeight="1">
      <c r="E61" s="18"/>
      <c r="F61" s="18"/>
      <c r="G61" s="18"/>
      <c r="H61" s="2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5:19" ht="15.75" customHeight="1">
      <c r="E62" s="18"/>
      <c r="F62" s="18"/>
      <c r="G62" s="18"/>
      <c r="H62" s="2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5:19" ht="15.75" customHeight="1">
      <c r="E63" s="18"/>
      <c r="F63" s="18"/>
      <c r="G63" s="18"/>
      <c r="H63" s="2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5:19" ht="15.75" customHeight="1">
      <c r="E64" s="18"/>
      <c r="F64" s="18"/>
      <c r="G64" s="18"/>
      <c r="H64" s="2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5:19" ht="15.75" customHeight="1">
      <c r="E65" s="18"/>
      <c r="F65" s="18"/>
      <c r="G65" s="18"/>
      <c r="H65" s="2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5:19" ht="15.75" customHeight="1">
      <c r="E66" s="18"/>
      <c r="F66" s="18"/>
      <c r="G66" s="18"/>
      <c r="H66" s="2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5:19" ht="15.75" customHeight="1"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5:19" ht="15.75" customHeight="1">
      <c r="E68" s="18"/>
      <c r="F68" s="18"/>
      <c r="G68" s="18"/>
      <c r="H68" s="2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5:19" ht="15.75" customHeight="1">
      <c r="E69" s="18"/>
      <c r="F69" s="18"/>
      <c r="G69" s="18"/>
      <c r="H69" s="2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5:19" ht="15.75" customHeight="1">
      <c r="E70" s="18"/>
      <c r="F70" s="18"/>
      <c r="G70" s="18"/>
      <c r="H70" s="2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5:19" ht="15.75" customHeight="1">
      <c r="E71" s="18"/>
      <c r="F71" s="18"/>
      <c r="G71" s="18"/>
      <c r="H71" s="2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5:19" ht="15.75" customHeight="1">
      <c r="E72" s="18"/>
      <c r="F72" s="18"/>
      <c r="G72" s="18"/>
      <c r="H72" s="2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5:19" ht="15.75" customHeight="1">
      <c r="E73" s="18"/>
      <c r="F73" s="18"/>
      <c r="G73" s="18"/>
      <c r="H73" s="2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5:19" ht="15.75" customHeight="1">
      <c r="E74" s="18"/>
      <c r="F74" s="18"/>
      <c r="G74" s="18"/>
      <c r="H74" s="2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5:19" ht="15.75" customHeight="1">
      <c r="E75" s="18"/>
      <c r="F75" s="18"/>
      <c r="G75" s="18"/>
      <c r="H75" s="2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5:19" ht="15.75" customHeight="1">
      <c r="E76" s="18"/>
      <c r="F76" s="18"/>
      <c r="G76" s="18"/>
      <c r="H76" s="2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5:19" ht="15.75" customHeight="1">
      <c r="E77" s="18"/>
      <c r="F77" s="18"/>
      <c r="G77" s="18"/>
      <c r="H77" s="2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5:19" ht="15.75" customHeight="1">
      <c r="E78" s="18"/>
      <c r="F78" s="18"/>
      <c r="G78" s="18"/>
      <c r="H78" s="2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5:19" ht="15.75" customHeight="1">
      <c r="E79" s="18"/>
      <c r="F79" s="18"/>
      <c r="G79" s="18"/>
      <c r="H79" s="2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5:19" ht="15.75" customHeight="1">
      <c r="E80" s="18"/>
      <c r="F80" s="18"/>
      <c r="G80" s="18"/>
      <c r="H80" s="2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5:19" ht="15.75" customHeight="1">
      <c r="E81" s="18"/>
      <c r="F81" s="18"/>
      <c r="G81" s="18"/>
      <c r="H81" s="2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spans="5:19" ht="15.75" customHeight="1">
      <c r="E82" s="18"/>
      <c r="F82" s="18"/>
      <c r="G82" s="18"/>
      <c r="H82" s="2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5:19" ht="15.75" customHeight="1">
      <c r="E83" s="18"/>
      <c r="F83" s="18"/>
      <c r="G83" s="18"/>
      <c r="H83" s="2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5:19" ht="15.75" customHeight="1">
      <c r="E84" s="18"/>
      <c r="F84" s="18"/>
      <c r="G84" s="18"/>
      <c r="H84" s="2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5:19" ht="15.75" customHeight="1">
      <c r="E85" s="18"/>
      <c r="F85" s="18"/>
      <c r="G85" s="18"/>
      <c r="H85" s="2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5:19" ht="15.75" customHeight="1">
      <c r="E86" s="18"/>
      <c r="F86" s="18"/>
      <c r="G86" s="18"/>
      <c r="H86" s="2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5:19" ht="15.75" customHeight="1">
      <c r="E87" s="18"/>
      <c r="F87" s="18"/>
      <c r="G87" s="18"/>
      <c r="H87" s="2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5:19" ht="15.75" customHeight="1">
      <c r="E88" s="18"/>
      <c r="F88" s="18"/>
      <c r="G88" s="18"/>
      <c r="H88" s="2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5:19" ht="15.75" customHeight="1">
      <c r="E89" s="18"/>
      <c r="F89" s="18"/>
      <c r="G89" s="18"/>
      <c r="H89" s="2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5:19" ht="15.75" customHeight="1">
      <c r="E90" s="18"/>
      <c r="F90" s="18"/>
      <c r="G90" s="18"/>
      <c r="H90" s="2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5:19" ht="15.75" customHeight="1">
      <c r="E91" s="18"/>
      <c r="F91" s="18"/>
      <c r="G91" s="18"/>
      <c r="H91" s="2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5:19" ht="15.75" customHeight="1">
      <c r="E92" s="18"/>
      <c r="F92" s="18"/>
      <c r="G92" s="18"/>
      <c r="H92" s="2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5:19" ht="15.75" customHeight="1">
      <c r="E93" s="18"/>
      <c r="F93" s="18"/>
      <c r="G93" s="18"/>
      <c r="H93" s="2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5:19" ht="15.75" customHeight="1">
      <c r="E94" s="18"/>
      <c r="F94" s="18"/>
      <c r="G94" s="18"/>
      <c r="H94" s="2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5:19" ht="15.75" customHeight="1">
      <c r="E95" s="18"/>
      <c r="F95" s="18"/>
      <c r="G95" s="18"/>
      <c r="H95" s="2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5:19" ht="15.75" customHeight="1">
      <c r="E96" s="18"/>
      <c r="F96" s="18"/>
      <c r="G96" s="18"/>
      <c r="H96" s="2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5:19" ht="15.75" customHeight="1">
      <c r="E97" s="18"/>
      <c r="F97" s="18"/>
      <c r="G97" s="18"/>
      <c r="H97" s="2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5:19" ht="15.75" customHeight="1">
      <c r="E98" s="18"/>
      <c r="F98" s="18"/>
      <c r="G98" s="18"/>
      <c r="H98" s="2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5:19" ht="15.75" customHeight="1"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5:19" ht="15.75" customHeight="1">
      <c r="E100" s="18"/>
      <c r="F100" s="18"/>
      <c r="G100" s="18"/>
      <c r="H100" s="2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5:19" ht="15.75" customHeight="1">
      <c r="E101" s="18"/>
      <c r="F101" s="18"/>
      <c r="G101" s="18"/>
      <c r="H101" s="2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5:19" ht="15.75" customHeight="1">
      <c r="E102" s="18"/>
      <c r="F102" s="18"/>
      <c r="G102" s="18"/>
      <c r="H102" s="2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5:19" ht="15.75" customHeight="1">
      <c r="E103" s="18"/>
      <c r="F103" s="18"/>
      <c r="G103" s="18"/>
      <c r="H103" s="2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5:19" ht="15.75" customHeight="1">
      <c r="E104" s="18"/>
      <c r="F104" s="18"/>
      <c r="G104" s="18"/>
      <c r="H104" s="2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5:19" ht="15.75" customHeight="1">
      <c r="E105" s="18"/>
      <c r="F105" s="18"/>
      <c r="G105" s="18"/>
      <c r="H105" s="2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5:19" ht="15.75" customHeight="1">
      <c r="E106" s="18"/>
      <c r="F106" s="18"/>
      <c r="G106" s="18"/>
      <c r="H106" s="2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5:19" ht="15.75" customHeight="1">
      <c r="E107" s="18"/>
      <c r="F107" s="18"/>
      <c r="G107" s="18"/>
      <c r="H107" s="2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5:19" ht="15.75" customHeight="1">
      <c r="E108" s="18"/>
      <c r="F108" s="18"/>
      <c r="G108" s="18"/>
      <c r="H108" s="2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5:19" ht="15.75" customHeight="1">
      <c r="E109" s="18"/>
      <c r="F109" s="18"/>
      <c r="G109" s="18"/>
      <c r="H109" s="2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5:19" ht="15.75" customHeight="1"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5:19" ht="15.75" customHeight="1">
      <c r="E111" s="18"/>
      <c r="F111" s="18"/>
      <c r="G111" s="18"/>
      <c r="H111" s="2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5:19" ht="15.75" customHeight="1">
      <c r="E112" s="18"/>
      <c r="F112" s="18"/>
      <c r="G112" s="18"/>
      <c r="H112" s="2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5:19" ht="15.75" customHeight="1">
      <c r="E113" s="18"/>
      <c r="F113" s="18"/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5:19" ht="15.75" customHeight="1">
      <c r="E114" s="18"/>
      <c r="F114" s="18"/>
      <c r="G114" s="18"/>
      <c r="H114" s="2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5:19" ht="15.75" customHeight="1">
      <c r="E115" s="18"/>
      <c r="F115" s="18"/>
      <c r="G115" s="18"/>
      <c r="H115" s="2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5:19" ht="15.75" customHeight="1">
      <c r="E116" s="18"/>
      <c r="F116" s="18"/>
      <c r="G116" s="18"/>
      <c r="H116" s="2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5:19" ht="15.75" customHeight="1">
      <c r="E117" s="18"/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5:19" ht="15.75" customHeight="1">
      <c r="E118" s="18"/>
      <c r="F118" s="18"/>
      <c r="G118" s="18"/>
      <c r="H118" s="2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5:19" ht="15.75" customHeight="1">
      <c r="E119" s="18"/>
      <c r="F119" s="18"/>
      <c r="G119" s="18"/>
      <c r="H119" s="2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5:19" ht="15.75" customHeight="1"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5:19" ht="15.75" customHeight="1">
      <c r="E121" s="18"/>
      <c r="F121" s="18"/>
      <c r="G121" s="18"/>
      <c r="H121" s="2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5:19" ht="15.75" customHeight="1">
      <c r="E122" s="18"/>
      <c r="F122" s="18"/>
      <c r="G122" s="18"/>
      <c r="H122" s="2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5:19" ht="15.75" customHeight="1">
      <c r="E123" s="18"/>
      <c r="F123" s="18"/>
      <c r="G123" s="18"/>
      <c r="H123" s="2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E126" s="18"/>
      <c r="F126" s="18"/>
      <c r="G126" s="18"/>
      <c r="H126" s="2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/>
      <c r="H127" s="2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/>
      <c r="H128" s="2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5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5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5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5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5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5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5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5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5:19" ht="15.75" customHeight="1">
      <c r="E137" s="18"/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5:19" ht="15.75" customHeight="1">
      <c r="E138" s="18"/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5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5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5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5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5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5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1" t="s">
        <v>167</v>
      </c>
      <c r="B600" s="52"/>
      <c r="C600" s="52"/>
      <c r="D600" s="53"/>
      <c r="E600" s="7"/>
      <c r="F600" s="51" t="str">
        <f>A600</f>
        <v>PPB31405_deglyc_2K_2pQ_2GSH_1Cys_8Ox</v>
      </c>
      <c r="G600" s="53"/>
      <c r="H600" s="7"/>
      <c r="I600" s="13" t="s">
        <v>168</v>
      </c>
      <c r="J600" s="3">
        <f>SUM(H2:H592)</f>
        <v>808394534.34375</v>
      </c>
    </row>
    <row r="601" spans="1:19">
      <c r="A601" s="54" t="s">
        <v>2</v>
      </c>
      <c r="B601" s="52"/>
      <c r="C601" s="52"/>
      <c r="D601" s="53"/>
      <c r="E601" s="7"/>
      <c r="F601" s="6" t="s">
        <v>169</v>
      </c>
      <c r="G601" s="8" t="s">
        <v>169</v>
      </c>
      <c r="H601" s="24"/>
      <c r="I601" s="14" t="s">
        <v>170</v>
      </c>
      <c r="J601" s="4">
        <f>100-(SUMIF(C2:C592,"",H2:H592)/J600*100)</f>
        <v>82.008665210506635</v>
      </c>
    </row>
    <row r="602" spans="1:19">
      <c r="A602" s="27">
        <v>0</v>
      </c>
      <c r="B602" s="27">
        <v>1</v>
      </c>
      <c r="C602" s="27">
        <v>2</v>
      </c>
      <c r="D602" s="27">
        <v>3</v>
      </c>
      <c r="E602" s="24"/>
      <c r="F602" s="11" t="e">
        <f>(A603*A602+B603*B602+C603*C602+D603*D602)/(A603+B603+C603+D603)</f>
        <v>#DIV/0!</v>
      </c>
      <c r="G602" s="34">
        <f>IFERROR(F602,0)</f>
        <v>0</v>
      </c>
      <c r="H602" s="32"/>
      <c r="I602" s="13" t="s">
        <v>171</v>
      </c>
      <c r="J602" s="5" t="e">
        <f>#REF!</f>
        <v>#REF!</v>
      </c>
    </row>
    <row r="603" spans="1:19">
      <c r="A603" s="2">
        <f>SUMIFS($H$2:$H$592,$A$2:$A$592,$A600,$B$2:$B$592,A602, $I$2:$I$592,"&gt;="&amp;$J$602,$G$2:$G$592,"&lt;="&amp;$J$603)</f>
        <v>0</v>
      </c>
      <c r="B603" s="2">
        <f>SUMIFS($H$2:$H$592,$A$2:$A$592,$A600,$B$2:$B$592,B602, $I$2:$I$592,"&gt;="&amp;$J$602,$G$2:$G$592,"&lt;="&amp;$J$603)</f>
        <v>0</v>
      </c>
      <c r="C603" s="2">
        <f>SUMIFS($H$2:$H$592,$A$2:$A$592,$A600,$B$2:$B$592,C602, $I$2:$I$592,"&gt;="&amp;$J$602,$G$2:$G$592,"&lt;="&amp;$J$603)</f>
        <v>0</v>
      </c>
      <c r="D603" s="2">
        <f>SUMIFS($H$2:$H$592,$A$2:$A$592,$A600,$B$2:$B$592,D602, $I$2:$I$592,"&gt;="&amp;$J$602,$G$2:$G$592,"&lt;="&amp;$J$603)</f>
        <v>0</v>
      </c>
      <c r="E603" s="9"/>
      <c r="F603" s="1">
        <f>SUM(A603:D603)</f>
        <v>0</v>
      </c>
      <c r="G603" s="1">
        <f>F603</f>
        <v>0</v>
      </c>
      <c r="H603" s="9"/>
      <c r="I603" s="13" t="s">
        <v>172</v>
      </c>
      <c r="J603" s="5" t="e">
        <f>#REF!</f>
        <v>#REF!</v>
      </c>
    </row>
    <row r="604" spans="1:19">
      <c r="C604" s="25"/>
      <c r="D604" s="25"/>
      <c r="I604" s="13" t="s">
        <v>173</v>
      </c>
      <c r="J604" s="3">
        <f>SUMIFS(H2:H592,I2:I592,"&gt;"&amp;J602,G2:G592,"&lt;"&amp;J603)</f>
        <v>0</v>
      </c>
    </row>
    <row r="605" spans="1:19">
      <c r="A605" s="51" t="s">
        <v>174</v>
      </c>
      <c r="B605" s="52"/>
      <c r="C605" s="52"/>
      <c r="D605" s="53"/>
      <c r="E605" s="7"/>
      <c r="F605" s="51" t="str">
        <f>A605</f>
        <v>PPB31405_deglyc_2K_2pQ_2GSH_1Cys_5Ox</v>
      </c>
      <c r="G605" s="53"/>
      <c r="H605" s="7"/>
      <c r="I605" s="14" t="s">
        <v>175</v>
      </c>
      <c r="J605" s="4" t="e">
        <f>$G$651/$J$604*100</f>
        <v>#DIV/0!</v>
      </c>
    </row>
    <row r="606" spans="1:19">
      <c r="A606" s="54" t="s">
        <v>2</v>
      </c>
      <c r="B606" s="52"/>
      <c r="C606" s="52"/>
      <c r="D606" s="53"/>
      <c r="E606" s="7"/>
      <c r="F606" s="6" t="s">
        <v>169</v>
      </c>
      <c r="G606" s="6" t="str">
        <f>F606</f>
        <v>Mean DAR w/ cut-off</v>
      </c>
      <c r="H606" s="24"/>
    </row>
    <row r="607" spans="1:19">
      <c r="A607" s="27">
        <v>0</v>
      </c>
      <c r="B607" s="27">
        <v>1</v>
      </c>
      <c r="C607" s="27">
        <v>2</v>
      </c>
      <c r="D607" s="27">
        <v>3</v>
      </c>
      <c r="E607" s="24"/>
      <c r="F607" s="12" t="e">
        <f>(A608*A607+B608*B607+C608*C607+D608*D607)/(A608+B608+C608+D608)</f>
        <v>#DIV/0!</v>
      </c>
      <c r="G607" s="34">
        <f>IFERROR(F607,0)</f>
        <v>0</v>
      </c>
      <c r="H607" s="32"/>
      <c r="I607" s="28" t="s">
        <v>169</v>
      </c>
      <c r="J607" s="35" t="e">
        <f>(G602*G603+G607*G608+G612*G613+G617*G618+G622*G623+G627*G628+G632*G633+G637*G638+G642*G643+G647*G648)/$G$651</f>
        <v>#DIV/0!</v>
      </c>
    </row>
    <row r="608" spans="1:19">
      <c r="A608" s="2">
        <f>SUMIFS($H$2:$H$592,$A$2:$A$592,$A605,$B$2:$B$592,A607, $I$2:$I$592,"&gt;="&amp;$J$602,$G$2:$G$592,"&lt;="&amp;$J$603)</f>
        <v>0</v>
      </c>
      <c r="B608" s="2">
        <f>SUMIFS($H$2:$H$592,$A$2:$A$592,$A605,$B$2:$B$592,B607, $I$2:$I$592,"&gt;="&amp;$J$602,$G$2:$G$592,"&lt;="&amp;$J$603)</f>
        <v>0</v>
      </c>
      <c r="C608" s="2">
        <f>SUMIFS($H$2:$H$592,$A$2:$A$592,$A605,$B$2:$B$592,C607, $I$2:$I$592,"&gt;="&amp;$J$602,$G$2:$G$592,"&lt;="&amp;$J$603)</f>
        <v>0</v>
      </c>
      <c r="D608" s="2">
        <f>SUMIFS($H$2:$H$592,$A$2:$A$592,$A605,$B$2:$B$592,D607, $I$2:$I$592,"&gt;="&amp;$J$602,$G$2:$G$592,"&lt;="&amp;$J$603)</f>
        <v>0</v>
      </c>
      <c r="E608" s="9"/>
      <c r="F608" s="1">
        <f>SUM(A608:D608)</f>
        <v>0</v>
      </c>
      <c r="G608" s="1">
        <f>F608</f>
        <v>0</v>
      </c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1" t="s">
        <v>176</v>
      </c>
      <c r="B610" s="52"/>
      <c r="C610" s="52"/>
      <c r="D610" s="53"/>
      <c r="E610" s="7"/>
      <c r="F610" s="51" t="str">
        <f>A610</f>
        <v>PPB31405_deglyc_2K_2pQ_2GSH_5Ox</v>
      </c>
      <c r="G610" s="53"/>
      <c r="H610" s="7"/>
    </row>
    <row r="611" spans="1:10">
      <c r="A611" s="54" t="s">
        <v>2</v>
      </c>
      <c r="B611" s="52"/>
      <c r="C611" s="52"/>
      <c r="D611" s="53"/>
      <c r="E611" s="7"/>
      <c r="F611" s="6" t="s">
        <v>169</v>
      </c>
      <c r="G611" s="6" t="str">
        <f>F611</f>
        <v>Mean DAR w/ cut-off</v>
      </c>
      <c r="H611" s="24"/>
      <c r="I611" s="48"/>
      <c r="J611" s="49"/>
    </row>
    <row r="612" spans="1:10">
      <c r="A612" s="27">
        <v>0</v>
      </c>
      <c r="B612" s="27">
        <v>1</v>
      </c>
      <c r="C612" s="27">
        <v>2</v>
      </c>
      <c r="D612" s="27">
        <v>3</v>
      </c>
      <c r="E612" s="24"/>
      <c r="F612" s="12" t="e">
        <f>(A613*A612+B613*B612+C613*C612+D613*D612)/(A613+B613+C613+D613)</f>
        <v>#DIV/0!</v>
      </c>
      <c r="G612" s="34">
        <f>IFERROR(F612,0)</f>
        <v>0</v>
      </c>
      <c r="H612" s="32"/>
      <c r="I612" s="24"/>
      <c r="J612" s="33"/>
    </row>
    <row r="613" spans="1:10">
      <c r="A613" s="2">
        <f>SUMIFS($H$2:$H$592,$A$2:$A$592,$A610,$B$2:$B$592,A612, $I$2:$I$592,"&gt;="&amp;$J$602,$G$2:$G$592,"&lt;="&amp;$J$603)</f>
        <v>0</v>
      </c>
      <c r="B613" s="2">
        <f>SUMIFS($H$2:$H$592,$A$2:$A$592,$A610,$B$2:$B$592,B612, $I$2:$I$592,"&gt;="&amp;$J$602,$G$2:$G$592,"&lt;="&amp;$J$603)</f>
        <v>0</v>
      </c>
      <c r="C613" s="2">
        <f>SUMIFS($H$2:$H$592,$A$2:$A$592,$A610,$B$2:$B$592,C612, $I$2:$I$592,"&gt;="&amp;$J$602,$G$2:$G$592,"&lt;="&amp;$J$603)</f>
        <v>0</v>
      </c>
      <c r="D613" s="2">
        <f>SUMIFS($H$2:$H$592,$A$2:$A$592,$A610,$B$2:$B$592,D612, $I$2:$I$592,"&gt;="&amp;$J$602,$G$2:$G$592,"&lt;="&amp;$J$603)</f>
        <v>0</v>
      </c>
      <c r="E613" s="9"/>
      <c r="F613" s="1">
        <f>SUM(A613:D613)</f>
        <v>0</v>
      </c>
      <c r="G613" s="1">
        <f>F613</f>
        <v>0</v>
      </c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1" t="s">
        <v>177</v>
      </c>
      <c r="B615" s="52"/>
      <c r="C615" s="52"/>
      <c r="D615" s="53"/>
      <c r="E615" s="7"/>
      <c r="F615" s="51" t="str">
        <f>A615</f>
        <v>PPB31405_deglyc_2K_2pQ_1GSH_2Ox</v>
      </c>
      <c r="G615" s="53"/>
      <c r="H615" s="7"/>
    </row>
    <row r="616" spans="1:10">
      <c r="A616" s="54" t="s">
        <v>2</v>
      </c>
      <c r="B616" s="52"/>
      <c r="C616" s="52"/>
      <c r="D616" s="53"/>
      <c r="E616" s="7"/>
      <c r="F616" s="6" t="s">
        <v>169</v>
      </c>
      <c r="G616" s="6" t="str">
        <f>F616</f>
        <v>Mean DAR w/ cut-off</v>
      </c>
      <c r="H616" s="24"/>
      <c r="I616" s="48"/>
      <c r="J616" s="49"/>
    </row>
    <row r="617" spans="1:10">
      <c r="A617" s="27">
        <v>0</v>
      </c>
      <c r="B617" s="27">
        <v>1</v>
      </c>
      <c r="C617" s="27">
        <v>2</v>
      </c>
      <c r="D617" s="27">
        <v>3</v>
      </c>
      <c r="E617" s="24"/>
      <c r="F617" s="12" t="e">
        <f>(A618*A617+B618*B617+C618*C617+D618*D617)/(A618+B618+C618+D618)</f>
        <v>#DIV/0!</v>
      </c>
      <c r="G617" s="34">
        <f>IFERROR(F617,0)</f>
        <v>0</v>
      </c>
      <c r="H617" s="32"/>
      <c r="I617" s="24"/>
      <c r="J617" s="33"/>
    </row>
    <row r="618" spans="1:10">
      <c r="A618" s="2">
        <f>SUMIFS($H$2:$H$592,$A$2:$A$592,$A615,$B$2:$B$592,A617, $I$2:$I$592,"&gt;="&amp;$J$602,$G$2:$G$592,"&lt;="&amp;$J$603)</f>
        <v>0</v>
      </c>
      <c r="B618" s="2">
        <f>SUMIFS($H$2:$H$592,$A$2:$A$592,$A615,$B$2:$B$592,B617, $I$2:$I$592,"&gt;="&amp;$J$602,$G$2:$G$592,"&lt;="&amp;$J$603)</f>
        <v>0</v>
      </c>
      <c r="C618" s="2">
        <f>SUMIFS($H$2:$H$592,$A$2:$A$592,$A615,$B$2:$B$592,C617, $I$2:$I$592,"&gt;="&amp;$J$602,$G$2:$G$592,"&lt;="&amp;$J$603)</f>
        <v>0</v>
      </c>
      <c r="D618" s="2">
        <f>SUMIFS($H$2:$H$592,$A$2:$A$592,$A615,$B$2:$B$592,D617, $I$2:$I$592,"&gt;="&amp;$J$602,$G$2:$G$592,"&lt;="&amp;$J$603)</f>
        <v>0</v>
      </c>
      <c r="E618" s="9"/>
      <c r="F618" s="1">
        <f>SUM(A618:D618)</f>
        <v>0</v>
      </c>
      <c r="G618" s="1">
        <f>F618</f>
        <v>0</v>
      </c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1" t="s">
        <v>178</v>
      </c>
      <c r="B620" s="52"/>
      <c r="C620" s="52"/>
      <c r="D620" s="53"/>
      <c r="E620" s="7"/>
      <c r="F620" s="51" t="str">
        <f>A620</f>
        <v>PPB31405_deglyc_2GK_2pQ</v>
      </c>
      <c r="G620" s="53"/>
      <c r="H620" s="7"/>
    </row>
    <row r="621" spans="1:10">
      <c r="A621" s="54" t="s">
        <v>2</v>
      </c>
      <c r="B621" s="52"/>
      <c r="C621" s="52"/>
      <c r="D621" s="53"/>
      <c r="E621" s="7"/>
      <c r="F621" s="6" t="s">
        <v>169</v>
      </c>
      <c r="G621" s="6" t="str">
        <f>F621</f>
        <v>Mean DAR w/ cut-off</v>
      </c>
      <c r="H621" s="24"/>
      <c r="I621" s="48"/>
      <c r="J621" s="49"/>
    </row>
    <row r="622" spans="1:10">
      <c r="A622" s="27">
        <v>0</v>
      </c>
      <c r="B622" s="27">
        <v>1</v>
      </c>
      <c r="C622" s="27">
        <v>2</v>
      </c>
      <c r="D622" s="27">
        <v>3</v>
      </c>
      <c r="E622" s="24"/>
      <c r="F622" s="12" t="e">
        <f>(A623*A622+B623*B622+C623*C622+D623*D622)/(A623+B623+C623+D623)</f>
        <v>#DIV/0!</v>
      </c>
      <c r="G622" s="34">
        <f>IFERROR(F622,0)</f>
        <v>0</v>
      </c>
      <c r="H622" s="32"/>
      <c r="I622" s="24"/>
      <c r="J622" s="33"/>
    </row>
    <row r="623" spans="1:10">
      <c r="A623" s="2">
        <f>SUMIFS($H$2:$H$592,$A$2:$A$592,$A620,$B$2:$B$592,A622, $I$2:$I$592,"&gt;="&amp;$J$602,$G$2:$G$592,"&lt;="&amp;$J$603)</f>
        <v>0</v>
      </c>
      <c r="B623" s="2">
        <f>SUMIFS($H$2:$H$592,$A$2:$A$592,$A620,$B$2:$B$592,B622, $I$2:$I$592,"&gt;="&amp;$J$602,$G$2:$G$592,"&lt;="&amp;$J$603)</f>
        <v>0</v>
      </c>
      <c r="C623" s="2">
        <f>SUMIFS($H$2:$H$592,$A$2:$A$592,$A620,$B$2:$B$592,C622, $I$2:$I$592,"&gt;="&amp;$J$602,$G$2:$G$592,"&lt;="&amp;$J$603)</f>
        <v>0</v>
      </c>
      <c r="D623" s="2">
        <f>SUMIFS($H$2:$H$592,$A$2:$A$592,$A620,$B$2:$B$592,D622, $I$2:$I$592,"&gt;="&amp;$J$602,$G$2:$G$592,"&lt;="&amp;$J$603)</f>
        <v>0</v>
      </c>
      <c r="E623" s="9"/>
      <c r="F623" s="1">
        <f>SUM(A623:D623)</f>
        <v>0</v>
      </c>
      <c r="G623" s="1">
        <f>F623</f>
        <v>0</v>
      </c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1" t="s">
        <v>179</v>
      </c>
      <c r="B625" s="52"/>
      <c r="C625" s="52"/>
      <c r="D625" s="53"/>
      <c r="E625" s="7"/>
      <c r="F625" s="51" t="str">
        <f>A625</f>
        <v>PPB31405_deglyc_1K1GK_2pQ</v>
      </c>
      <c r="G625" s="53"/>
      <c r="H625" s="7"/>
    </row>
    <row r="626" spans="1:10">
      <c r="A626" s="54" t="s">
        <v>2</v>
      </c>
      <c r="B626" s="52"/>
      <c r="C626" s="52"/>
      <c r="D626" s="53"/>
      <c r="E626" s="7"/>
      <c r="F626" s="6" t="s">
        <v>169</v>
      </c>
      <c r="G626" s="6" t="str">
        <f>F626</f>
        <v>Mean DAR w/ cut-off</v>
      </c>
      <c r="H626" s="24"/>
      <c r="I626" s="48"/>
      <c r="J626" s="49"/>
    </row>
    <row r="627" spans="1:10">
      <c r="A627" s="27">
        <v>0</v>
      </c>
      <c r="B627" s="27">
        <v>1</v>
      </c>
      <c r="C627" s="27">
        <v>2</v>
      </c>
      <c r="D627" s="27">
        <v>3</v>
      </c>
      <c r="E627" s="24"/>
      <c r="F627" s="12" t="e">
        <f>(A628*A627+B628*B627+C628*C627+D628*D627)/(A628+B628+C628+D628)</f>
        <v>#DIV/0!</v>
      </c>
      <c r="G627" s="34">
        <f>IFERROR(F627,0)</f>
        <v>0</v>
      </c>
      <c r="H627" s="32"/>
      <c r="I627" s="24"/>
      <c r="J627" s="33"/>
    </row>
    <row r="628" spans="1:10">
      <c r="A628" s="2">
        <f>SUMIFS($H$2:$H$592,$A$2:$A$592,$A625,$B$2:$B$592,A627, $I$2:$I$592,"&gt;="&amp;$J$602,$G$2:$G$592,"&lt;="&amp;$J$603)</f>
        <v>0</v>
      </c>
      <c r="B628" s="2">
        <f>SUMIFS($H$2:$H$592,$A$2:$A$592,$A625,$B$2:$B$592,B627, $I$2:$I$592,"&gt;="&amp;$J$602,$G$2:$G$592,"&lt;="&amp;$J$603)</f>
        <v>0</v>
      </c>
      <c r="C628" s="2">
        <f>SUMIFS($H$2:$H$592,$A$2:$A$592,$A625,$B$2:$B$592,C627, $I$2:$I$592,"&gt;="&amp;$J$602,$G$2:$G$592,"&lt;="&amp;$J$603)</f>
        <v>0</v>
      </c>
      <c r="D628" s="2">
        <f>SUMIFS($H$2:$H$592,$A$2:$A$592,$A625,$B$2:$B$592,D627, $I$2:$I$592,"&gt;="&amp;$J$602,$G$2:$G$592,"&lt;="&amp;$J$603)</f>
        <v>0</v>
      </c>
      <c r="E628" s="9"/>
      <c r="F628" s="1">
        <f>SUM(A628:D628)</f>
        <v>0</v>
      </c>
      <c r="G628" s="1">
        <f>F628</f>
        <v>0</v>
      </c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1" t="s">
        <v>180</v>
      </c>
      <c r="B630" s="52"/>
      <c r="C630" s="52"/>
      <c r="D630" s="53"/>
      <c r="E630" s="7"/>
      <c r="F630" s="51" t="str">
        <f>A630</f>
        <v>PPB31405_deglyc_1GK</v>
      </c>
      <c r="G630" s="53"/>
      <c r="H630" s="7"/>
    </row>
    <row r="631" spans="1:10">
      <c r="A631" s="54" t="s">
        <v>2</v>
      </c>
      <c r="B631" s="52"/>
      <c r="C631" s="52"/>
      <c r="D631" s="53"/>
      <c r="E631" s="7"/>
      <c r="F631" s="6" t="s">
        <v>169</v>
      </c>
      <c r="G631" s="6" t="str">
        <f>F631</f>
        <v>Mean DAR w/ cut-off</v>
      </c>
      <c r="H631" s="24"/>
      <c r="I631" s="48"/>
      <c r="J631" s="49"/>
    </row>
    <row r="632" spans="1:10">
      <c r="A632" s="27">
        <v>0</v>
      </c>
      <c r="B632" s="27">
        <v>1</v>
      </c>
      <c r="C632" s="27">
        <v>2</v>
      </c>
      <c r="D632" s="27">
        <v>3</v>
      </c>
      <c r="E632" s="24"/>
      <c r="F632" s="12" t="e">
        <f>(A633*A632+B633*B632+C633*C632+D633*D632)/(A633+B633+C633+D633)</f>
        <v>#DIV/0!</v>
      </c>
      <c r="G632" s="34">
        <f>IFERROR(F632,0)</f>
        <v>0</v>
      </c>
      <c r="H632" s="32"/>
      <c r="I632" s="24"/>
      <c r="J632" s="33"/>
    </row>
    <row r="633" spans="1:10">
      <c r="A633" s="2">
        <f>SUMIFS($H$2:$H$592,$A$2:$A$592,$A630,$B$2:$B$592,A632, $I$2:$I$592,"&gt;="&amp;$J$602,$G$2:$G$592,"&lt;="&amp;$J$603)</f>
        <v>0</v>
      </c>
      <c r="B633" s="2">
        <f>SUMIFS($H$2:$H$592,$A$2:$A$592,$A630,$B$2:$B$592,B632, $I$2:$I$592,"&gt;="&amp;$J$602,$G$2:$G$592,"&lt;="&amp;$J$603)</f>
        <v>0</v>
      </c>
      <c r="C633" s="2">
        <f>SUMIFS($H$2:$H$592,$A$2:$A$592,$A630,$B$2:$B$592,C632, $I$2:$I$592,"&gt;="&amp;$J$602,$G$2:$G$592,"&lt;="&amp;$J$603)</f>
        <v>0</v>
      </c>
      <c r="D633" s="2">
        <f>SUMIFS($H$2:$H$592,$A$2:$A$592,$A630,$B$2:$B$592,D632, $I$2:$I$592,"&gt;="&amp;$J$602,$G$2:$G$592,"&lt;="&amp;$J$603)</f>
        <v>0</v>
      </c>
      <c r="E633" s="9"/>
      <c r="F633" s="1">
        <f>SUM(A633:D633)</f>
        <v>0</v>
      </c>
      <c r="G633" s="1">
        <f>F633</f>
        <v>0</v>
      </c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1" t="s">
        <v>181</v>
      </c>
      <c r="B635" s="52"/>
      <c r="C635" s="52"/>
      <c r="D635" s="53"/>
      <c r="E635" s="7"/>
      <c r="F635" s="51" t="str">
        <f>A635</f>
        <v>PPB31405_deglyc_1K_2pQ</v>
      </c>
      <c r="G635" s="53"/>
      <c r="H635" s="7"/>
    </row>
    <row r="636" spans="1:10">
      <c r="A636" s="54" t="s">
        <v>2</v>
      </c>
      <c r="B636" s="52"/>
      <c r="C636" s="52"/>
      <c r="D636" s="53"/>
      <c r="E636" s="7"/>
      <c r="F636" s="6" t="s">
        <v>169</v>
      </c>
      <c r="G636" s="6" t="str">
        <f>F636</f>
        <v>Mean DAR w/ cut-off</v>
      </c>
      <c r="H636" s="24"/>
      <c r="I636" s="48"/>
      <c r="J636" s="49"/>
    </row>
    <row r="637" spans="1:10">
      <c r="A637" s="27">
        <v>0</v>
      </c>
      <c r="B637" s="27">
        <v>1</v>
      </c>
      <c r="C637" s="27">
        <v>2</v>
      </c>
      <c r="D637" s="27">
        <v>3</v>
      </c>
      <c r="E637" s="24"/>
      <c r="F637" s="12" t="e">
        <f>(A638*A637+B638*B637+C638*C637+D638*D637)/(A638+B638+C638+D638)</f>
        <v>#DIV/0!</v>
      </c>
      <c r="G637" s="34">
        <f>IFERROR(F637,0)</f>
        <v>0</v>
      </c>
      <c r="H637" s="32"/>
      <c r="I637" s="24"/>
      <c r="J637" s="33"/>
    </row>
    <row r="638" spans="1:10">
      <c r="A638" s="2">
        <f>SUMIFS($H$2:$H$592,$A$2:$A$592,$A635,$B$2:$B$592,A637, $I$2:$I$592,"&gt;="&amp;$J$602,$G$2:$G$592,"&lt;="&amp;$J$603)</f>
        <v>0</v>
      </c>
      <c r="B638" s="2">
        <f>SUMIFS($H$2:$H$592,$A$2:$A$592,$A635,$B$2:$B$592,B637, $I$2:$I$592,"&gt;="&amp;$J$602,$G$2:$G$592,"&lt;="&amp;$J$603)</f>
        <v>0</v>
      </c>
      <c r="C638" s="2">
        <f>SUMIFS($H$2:$H$592,$A$2:$A$592,$A635,$B$2:$B$592,C637, $I$2:$I$592,"&gt;="&amp;$J$602,$G$2:$G$592,"&lt;="&amp;$J$603)</f>
        <v>0</v>
      </c>
      <c r="D638" s="2">
        <f>SUMIFS($H$2:$H$592,$A$2:$A$592,$A635,$B$2:$B$592,D637, $I$2:$I$592,"&gt;="&amp;$J$602,$G$2:$G$592,"&lt;="&amp;$J$603)</f>
        <v>0</v>
      </c>
      <c r="E638" s="9"/>
      <c r="F638" s="1">
        <f>SUM(A638:D638)</f>
        <v>0</v>
      </c>
      <c r="G638" s="1">
        <f>F638</f>
        <v>0</v>
      </c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1" t="s">
        <v>182</v>
      </c>
      <c r="B640" s="52"/>
      <c r="C640" s="52"/>
      <c r="D640" s="53"/>
      <c r="E640" s="7"/>
      <c r="F640" s="51" t="str">
        <f>A640</f>
        <v>PPB31405_deglyc_2K_2pQ</v>
      </c>
      <c r="G640" s="53"/>
      <c r="H640" s="7"/>
    </row>
    <row r="641" spans="1:10">
      <c r="A641" s="54" t="s">
        <v>2</v>
      </c>
      <c r="B641" s="52"/>
      <c r="C641" s="52"/>
      <c r="D641" s="53"/>
      <c r="E641" s="7"/>
      <c r="F641" s="6" t="s">
        <v>169</v>
      </c>
      <c r="G641" s="6" t="str">
        <f>F641</f>
        <v>Mean DAR w/ cut-off</v>
      </c>
      <c r="H641" s="24"/>
      <c r="I641" s="48"/>
      <c r="J641" s="49"/>
    </row>
    <row r="642" spans="1:10">
      <c r="A642" s="27">
        <v>0</v>
      </c>
      <c r="B642" s="27">
        <v>1</v>
      </c>
      <c r="C642" s="27">
        <v>2</v>
      </c>
      <c r="D642" s="27">
        <v>3</v>
      </c>
      <c r="E642" s="24"/>
      <c r="F642" s="12" t="e">
        <f>(A643*A642+B643*B642+C643*C642+D643*D642)/(A643+B643+C643+D643)</f>
        <v>#DIV/0!</v>
      </c>
      <c r="G642" s="34">
        <f>IFERROR(F642,0)</f>
        <v>0</v>
      </c>
      <c r="H642" s="32"/>
      <c r="I642" s="24"/>
      <c r="J642" s="33"/>
    </row>
    <row r="643" spans="1:10">
      <c r="A643" s="2">
        <f>SUMIFS($H$2:$H$592,$A$2:$A$592,$A640,$B$2:$B$592,A642, $I$2:$I$592,"&gt;="&amp;$J$602,$G$2:$G$592,"&lt;="&amp;$J$603)</f>
        <v>0</v>
      </c>
      <c r="B643" s="2">
        <f>SUMIFS($H$2:$H$592,$A$2:$A$592,$A640,$B$2:$B$592,B642, $I$2:$I$592,"&gt;="&amp;$J$602,$G$2:$G$592,"&lt;="&amp;$J$603)</f>
        <v>0</v>
      </c>
      <c r="C643" s="2">
        <f>SUMIFS($H$2:$H$592,$A$2:$A$592,$A640,$B$2:$B$592,C642, $I$2:$I$592,"&gt;="&amp;$J$602,$G$2:$G$592,"&lt;="&amp;$J$603)</f>
        <v>0</v>
      </c>
      <c r="D643" s="2">
        <f>SUMIFS($H$2:$H$592,$A$2:$A$592,$A640,$B$2:$B$592,D642, $I$2:$I$592,"&gt;="&amp;$J$602,$G$2:$G$592,"&lt;="&amp;$J$603)</f>
        <v>0</v>
      </c>
      <c r="E643" s="9"/>
      <c r="F643" s="1">
        <f>SUM(A643:D643)</f>
        <v>0</v>
      </c>
      <c r="G643" s="1">
        <f>F643</f>
        <v>0</v>
      </c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1" t="s">
        <v>183</v>
      </c>
      <c r="B645" s="52"/>
      <c r="C645" s="52"/>
      <c r="D645" s="53"/>
      <c r="E645" s="7"/>
      <c r="F645" s="51" t="str">
        <f>A645</f>
        <v>PPB31405_deglyc_2pQ</v>
      </c>
      <c r="G645" s="53"/>
      <c r="H645" s="7"/>
    </row>
    <row r="646" spans="1:10">
      <c r="A646" s="54" t="s">
        <v>2</v>
      </c>
      <c r="B646" s="52"/>
      <c r="C646" s="52"/>
      <c r="D646" s="53"/>
      <c r="E646" s="7"/>
      <c r="F646" s="6" t="s">
        <v>169</v>
      </c>
      <c r="G646" s="6" t="str">
        <f>F646</f>
        <v>Mean DAR w/ cut-off</v>
      </c>
      <c r="H646" s="24"/>
      <c r="I646" s="48"/>
      <c r="J646" s="49"/>
    </row>
    <row r="647" spans="1:10">
      <c r="A647" s="27">
        <v>0</v>
      </c>
      <c r="B647" s="27">
        <v>1</v>
      </c>
      <c r="C647" s="27">
        <v>2</v>
      </c>
      <c r="D647" s="27">
        <v>3</v>
      </c>
      <c r="E647" s="24"/>
      <c r="F647" s="12" t="e">
        <f>(A648*A647+B648*B647+C648*C647+D648*D647)/(A648+B648+C648+D648)</f>
        <v>#DIV/0!</v>
      </c>
      <c r="G647" s="34">
        <f>IFERROR(F647,0)</f>
        <v>0</v>
      </c>
      <c r="H647" s="32"/>
      <c r="I647" s="24"/>
      <c r="J647" s="33"/>
    </row>
    <row r="648" spans="1:10">
      <c r="A648" s="2">
        <f>SUMIFS($H$2:$H$592,$A$2:$A$592,$A645,$B$2:$B$592,A647, $I$2:$I$592,"&gt;="&amp;$J$602,$G$2:$G$592,"&lt;="&amp;$J$603)</f>
        <v>0</v>
      </c>
      <c r="B648" s="2">
        <f>SUMIFS($H$2:$H$592,$A$2:$A$592,$A645,$B$2:$B$592,B647, $I$2:$I$592,"&gt;="&amp;$J$602,$G$2:$G$592,"&lt;="&amp;$J$603)</f>
        <v>0</v>
      </c>
      <c r="C648" s="2">
        <f>SUMIFS($H$2:$H$592,$A$2:$A$592,$A645,$B$2:$B$592,C647, $I$2:$I$592,"&gt;="&amp;$J$602,$G$2:$G$592,"&lt;="&amp;$J$603)</f>
        <v>0</v>
      </c>
      <c r="D648" s="2">
        <f>SUMIFS($H$2:$H$592,$A$2:$A$592,$A645,$B$2:$B$592,D647, $I$2:$I$592,"&gt;="&amp;$J$602,$G$2:$G$592,"&lt;="&amp;$J$603)</f>
        <v>0</v>
      </c>
      <c r="E648" s="9"/>
      <c r="F648" s="1">
        <f>SUM(A648:D648)</f>
        <v>0</v>
      </c>
      <c r="G648" s="1">
        <f>F648</f>
        <v>0</v>
      </c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1">
        <f>C603+C608+C613</f>
        <v>0</v>
      </c>
      <c r="G651" s="1">
        <f>G603+G608+G613+G618+G623+G628+G633+G638+G643+G648</f>
        <v>0</v>
      </c>
    </row>
  </sheetData>
  <autoFilter ref="A1:S471" xr:uid="{00000000-0009-0000-0000-000007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F645:G645"/>
    <mergeCell ref="I646:J646"/>
    <mergeCell ref="A620:D620"/>
    <mergeCell ref="I631:J631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outlinePr summaryBelow="0"/>
  </sheetPr>
  <dimension ref="A1:S651"/>
  <sheetViews>
    <sheetView tabSelected="1" zoomScale="85" zoomScaleNormal="85" workbookViewId="0">
      <pane ySplit="1" topLeftCell="A2" activePane="bottomLeft" state="frozen"/>
      <selection pane="bottomLeft" activeCell="C22" sqref="C22"/>
    </sheetView>
  </sheetViews>
  <sheetFormatPr defaultColWidth="9.140625" defaultRowHeight="15"/>
  <cols>
    <col min="1" max="1" width="39.7109375" style="26" customWidth="1"/>
    <col min="2" max="2" width="10.85546875" style="25" bestFit="1" customWidth="1"/>
    <col min="3" max="3" width="39.7109375" style="26" bestFit="1" customWidth="1"/>
    <col min="4" max="4" width="87.7109375" style="26" bestFit="1" customWidth="1"/>
    <col min="5" max="5" width="35.5703125" style="26" bestFit="1" customWidth="1"/>
    <col min="6" max="6" width="29.5703125" style="26" bestFit="1" customWidth="1"/>
    <col min="7" max="7" width="29.140625" style="26" bestFit="1" customWidth="1"/>
    <col min="8" max="8" width="37.42578125" style="26" customWidth="1"/>
    <col min="9" max="10" width="23.5703125" style="26" bestFit="1" customWidth="1"/>
    <col min="11" max="11" width="27.42578125" style="26" customWidth="1"/>
    <col min="12" max="12" width="25.5703125" style="26" bestFit="1" customWidth="1"/>
    <col min="13" max="13" width="25.85546875" style="26" bestFit="1" customWidth="1"/>
    <col min="14" max="19" width="17.140625" style="26" customWidth="1"/>
    <col min="20" max="23" width="9.140625" style="26" customWidth="1"/>
    <col min="24" max="16384" width="9.140625" style="26"/>
  </cols>
  <sheetData>
    <row r="1" spans="1:19" ht="19.5" customHeight="1">
      <c r="A1" s="24" t="s">
        <v>1</v>
      </c>
      <c r="B1" s="24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55" customFormat="1" ht="15.75" customHeight="1">
      <c r="A2" s="55" t="str">
        <f t="shared" ref="A2:A22" si="0">C2</f>
        <v>Trastuzumab ADC_2K_loss_deglyc</v>
      </c>
      <c r="B2" s="56">
        <v>1</v>
      </c>
      <c r="C2" s="55" t="s">
        <v>19</v>
      </c>
      <c r="D2" s="55" t="s">
        <v>345</v>
      </c>
      <c r="E2" s="57">
        <v>147239.589995652</v>
      </c>
      <c r="F2" s="57">
        <v>147235.42604399999</v>
      </c>
      <c r="G2" s="58">
        <f>ABS(E2-F2)/F2*1000000</f>
        <v>28.280908772347686</v>
      </c>
      <c r="H2" s="59">
        <v>126920310.375</v>
      </c>
      <c r="I2" s="57">
        <v>100</v>
      </c>
      <c r="J2" s="57">
        <v>28.7712877602474</v>
      </c>
      <c r="K2" s="57">
        <v>87.456754345137398</v>
      </c>
      <c r="L2" s="60">
        <v>26</v>
      </c>
      <c r="M2" s="60" t="s">
        <v>232</v>
      </c>
      <c r="N2" s="60">
        <v>13</v>
      </c>
      <c r="O2" s="57">
        <v>0</v>
      </c>
      <c r="P2" s="60" t="s">
        <v>346</v>
      </c>
      <c r="Q2" s="61">
        <v>14.439250899999999</v>
      </c>
      <c r="R2" s="61">
        <v>16.544367662666701</v>
      </c>
      <c r="S2" s="62">
        <v>15.07</v>
      </c>
    </row>
    <row r="3" spans="1:19" s="55" customFormat="1" ht="15.75" customHeight="1">
      <c r="A3" s="55" t="str">
        <f t="shared" si="0"/>
        <v>Trastuzumab ADC_2K_loss_deglyc_1ox</v>
      </c>
      <c r="B3" s="56">
        <v>1</v>
      </c>
      <c r="C3" s="55" t="s">
        <v>347</v>
      </c>
      <c r="D3" s="55" t="s">
        <v>345</v>
      </c>
      <c r="E3" s="57">
        <v>147252.21631621299</v>
      </c>
      <c r="F3" s="57">
        <v>147251.42204400001</v>
      </c>
      <c r="G3" s="58">
        <f>ABS(E3-F3)/F3*1000000</f>
        <v>5.3939867062450384</v>
      </c>
      <c r="H3" s="59">
        <v>82442366</v>
      </c>
      <c r="I3" s="57">
        <v>64.956005489778903</v>
      </c>
      <c r="J3" s="57">
        <v>18.688679257026401</v>
      </c>
      <c r="K3" s="57">
        <v>82.933477024360997</v>
      </c>
      <c r="L3" s="60">
        <v>24</v>
      </c>
      <c r="M3" s="60" t="s">
        <v>348</v>
      </c>
      <c r="N3" s="60">
        <v>6</v>
      </c>
      <c r="O3" s="57">
        <v>12.626320561423199</v>
      </c>
      <c r="P3" s="60" t="s">
        <v>349</v>
      </c>
      <c r="Q3" s="61">
        <v>14.543077948000001</v>
      </c>
      <c r="R3" s="61">
        <v>15.7059098304</v>
      </c>
      <c r="S3" s="62">
        <v>15.28</v>
      </c>
    </row>
    <row r="4" spans="1:19" s="55" customFormat="1" ht="15.75" customHeight="1">
      <c r="A4" s="55" t="str">
        <f t="shared" si="0"/>
        <v>Trastuzumab ADC_2K_loss_deglyc</v>
      </c>
      <c r="B4" s="56">
        <v>1</v>
      </c>
      <c r="C4" s="55" t="s">
        <v>19</v>
      </c>
      <c r="D4" s="55" t="s">
        <v>280</v>
      </c>
      <c r="E4" s="57">
        <v>147226.56571783801</v>
      </c>
      <c r="F4" s="57">
        <v>147235.45604399999</v>
      </c>
      <c r="G4" s="58">
        <v>60.385339552658799</v>
      </c>
      <c r="H4" s="59">
        <v>53727241.46875</v>
      </c>
      <c r="I4" s="57">
        <v>42.331476914702101</v>
      </c>
      <c r="J4" s="57">
        <v>12.179311036291599</v>
      </c>
      <c r="K4" s="57">
        <v>74.861321222261907</v>
      </c>
      <c r="L4" s="60">
        <v>19</v>
      </c>
      <c r="M4" s="60" t="s">
        <v>350</v>
      </c>
      <c r="N4" s="60">
        <v>9</v>
      </c>
      <c r="O4" s="57">
        <v>-13.0242778135871</v>
      </c>
      <c r="P4" s="60" t="s">
        <v>351</v>
      </c>
      <c r="Q4" s="61">
        <v>15.075014960000001</v>
      </c>
      <c r="R4" s="61">
        <v>16.956100773066701</v>
      </c>
      <c r="S4" s="62">
        <v>15.39</v>
      </c>
    </row>
    <row r="5" spans="1:19" s="55" customFormat="1" ht="15.75" customHeight="1">
      <c r="A5" s="55" t="str">
        <f t="shared" si="0"/>
        <v>Trastuzumab ADC_2K_loss_deglyc</v>
      </c>
      <c r="B5" s="56">
        <v>2</v>
      </c>
      <c r="C5" s="55" t="s">
        <v>19</v>
      </c>
      <c r="D5" s="55" t="s">
        <v>287</v>
      </c>
      <c r="E5" s="57">
        <v>147997.76546599501</v>
      </c>
      <c r="F5" s="57">
        <v>147997.458044</v>
      </c>
      <c r="G5" s="58">
        <v>2.0772070018667201</v>
      </c>
      <c r="H5" s="59">
        <v>42842891.4375</v>
      </c>
      <c r="I5" s="57">
        <v>33.755739964534797</v>
      </c>
      <c r="J5" s="57">
        <v>9.7119610807971508</v>
      </c>
      <c r="K5" s="57">
        <v>61.687084374113503</v>
      </c>
      <c r="L5" s="60">
        <v>17</v>
      </c>
      <c r="M5" s="60" t="s">
        <v>352</v>
      </c>
      <c r="N5" s="60">
        <v>8</v>
      </c>
      <c r="O5" s="57">
        <v>758.17547034312202</v>
      </c>
      <c r="P5" s="60" t="s">
        <v>353</v>
      </c>
      <c r="Q5" s="61">
        <v>14.543077948000001</v>
      </c>
      <c r="R5" s="61">
        <v>16.3347487714667</v>
      </c>
      <c r="S5" s="62">
        <v>15.07</v>
      </c>
    </row>
    <row r="6" spans="1:19" s="55" customFormat="1" ht="15.75" customHeight="1">
      <c r="A6" s="55" t="str">
        <f t="shared" si="0"/>
        <v>Trastuzumab ADC_1K_loss_deglyc</v>
      </c>
      <c r="B6" s="56">
        <v>0</v>
      </c>
      <c r="C6" s="55" t="s">
        <v>61</v>
      </c>
      <c r="D6" s="55" t="s">
        <v>62</v>
      </c>
      <c r="E6" s="57">
        <v>147304.47380189999</v>
      </c>
      <c r="F6" s="57">
        <v>147299.49804400001</v>
      </c>
      <c r="G6" s="58">
        <v>33.778728989467098</v>
      </c>
      <c r="H6" s="59">
        <v>23206312.5</v>
      </c>
      <c r="I6" s="57">
        <v>18.284159107932901</v>
      </c>
      <c r="J6" s="57">
        <v>5.2605880314848497</v>
      </c>
      <c r="K6" s="57">
        <v>55.872036694262597</v>
      </c>
      <c r="L6" s="60">
        <v>15</v>
      </c>
      <c r="M6" s="60" t="s">
        <v>63</v>
      </c>
      <c r="N6" s="60">
        <v>3</v>
      </c>
      <c r="O6" s="57">
        <v>64.883806247933506</v>
      </c>
      <c r="P6" s="60" t="s">
        <v>354</v>
      </c>
      <c r="Q6" s="61">
        <v>14.865580648</v>
      </c>
      <c r="R6" s="61">
        <v>15.494623367999999</v>
      </c>
      <c r="S6" s="62">
        <v>15.18</v>
      </c>
    </row>
    <row r="7" spans="1:19" s="55" customFormat="1" ht="16.5" customHeight="1">
      <c r="A7" s="55">
        <f t="shared" si="0"/>
        <v>0</v>
      </c>
      <c r="B7" s="56"/>
      <c r="E7" s="57">
        <v>147261.14058084</v>
      </c>
      <c r="F7" s="57">
        <v>0</v>
      </c>
      <c r="G7" s="58">
        <v>0</v>
      </c>
      <c r="H7" s="59">
        <v>16443410.125</v>
      </c>
      <c r="I7" s="57">
        <v>12.955695792810401</v>
      </c>
      <c r="J7" s="57">
        <v>3.7275205178917301</v>
      </c>
      <c r="K7" s="57">
        <v>78.657380944606899</v>
      </c>
      <c r="L7" s="60">
        <v>19</v>
      </c>
      <c r="M7" s="60" t="s">
        <v>32</v>
      </c>
      <c r="N7" s="60">
        <v>3</v>
      </c>
      <c r="O7" s="57">
        <v>21.550585188815599</v>
      </c>
      <c r="P7" s="60" t="s">
        <v>355</v>
      </c>
      <c r="Q7" s="61">
        <v>15.3896265530667</v>
      </c>
      <c r="R7" s="61">
        <v>16.761441903733299</v>
      </c>
      <c r="S7" s="62">
        <v>15.6</v>
      </c>
    </row>
    <row r="8" spans="1:19" s="55" customFormat="1" ht="15.75" customHeight="1">
      <c r="A8" s="55">
        <f t="shared" si="0"/>
        <v>0</v>
      </c>
      <c r="B8" s="56"/>
      <c r="E8" s="57">
        <v>23559.845280773301</v>
      </c>
      <c r="F8" s="57">
        <v>0</v>
      </c>
      <c r="G8" s="58">
        <v>0</v>
      </c>
      <c r="H8" s="59">
        <v>16142112.5</v>
      </c>
      <c r="I8" s="57">
        <v>12.718305342115301</v>
      </c>
      <c r="J8" s="57">
        <v>3.6592202282069</v>
      </c>
      <c r="K8" s="57">
        <v>44.611641878225299</v>
      </c>
      <c r="L8" s="60">
        <v>9</v>
      </c>
      <c r="M8" s="60" t="s">
        <v>356</v>
      </c>
      <c r="N8" s="60">
        <v>5</v>
      </c>
      <c r="O8" s="57">
        <v>-123679.744714878</v>
      </c>
      <c r="P8" s="60" t="s">
        <v>357</v>
      </c>
      <c r="Q8" s="61">
        <v>14.3384777314667</v>
      </c>
      <c r="R8" s="61">
        <v>15.494623367999999</v>
      </c>
      <c r="S8" s="62">
        <v>14.76</v>
      </c>
    </row>
    <row r="9" spans="1:19" s="55" customFormat="1" ht="15.75" customHeight="1">
      <c r="A9" s="55" t="str">
        <f t="shared" si="0"/>
        <v>Trastuzumab ADC_1K_loss_deglyc</v>
      </c>
      <c r="B9" s="56">
        <v>0</v>
      </c>
      <c r="C9" s="55" t="s">
        <v>61</v>
      </c>
      <c r="D9" s="55" t="s">
        <v>62</v>
      </c>
      <c r="E9" s="57">
        <v>147299.869274089</v>
      </c>
      <c r="F9" s="57">
        <v>147299.49804400001</v>
      </c>
      <c r="G9" s="58">
        <v>2.5202336586912701</v>
      </c>
      <c r="H9" s="59">
        <v>15160501.3125</v>
      </c>
      <c r="I9" s="57">
        <v>11.944897699586001</v>
      </c>
      <c r="J9" s="57">
        <v>3.4367008898150502</v>
      </c>
      <c r="K9" s="57">
        <v>52.858972233469601</v>
      </c>
      <c r="L9" s="60">
        <v>14</v>
      </c>
      <c r="M9" s="60" t="s">
        <v>195</v>
      </c>
      <c r="N9" s="60">
        <v>4</v>
      </c>
      <c r="O9" s="57">
        <v>60.279278436908498</v>
      </c>
      <c r="P9" s="60" t="s">
        <v>358</v>
      </c>
      <c r="Q9" s="61">
        <v>14.543077948000001</v>
      </c>
      <c r="R9" s="61">
        <v>16.761441903733299</v>
      </c>
      <c r="S9" s="62">
        <v>15.39</v>
      </c>
    </row>
    <row r="10" spans="1:19" s="55" customFormat="1" ht="15.75" customHeight="1">
      <c r="A10" s="55">
        <f t="shared" si="0"/>
        <v>0</v>
      </c>
      <c r="B10" s="56"/>
      <c r="E10" s="57">
        <v>23555.851362261099</v>
      </c>
      <c r="F10" s="57">
        <v>0</v>
      </c>
      <c r="G10" s="58">
        <v>0</v>
      </c>
      <c r="H10" s="59">
        <v>11883880.25</v>
      </c>
      <c r="I10" s="57">
        <v>9.3632609736745707</v>
      </c>
      <c r="J10" s="57">
        <v>2.6939307584788499</v>
      </c>
      <c r="K10" s="57">
        <v>48.989604639032102</v>
      </c>
      <c r="L10" s="60">
        <v>9</v>
      </c>
      <c r="M10" s="60" t="s">
        <v>356</v>
      </c>
      <c r="N10" s="60">
        <v>3</v>
      </c>
      <c r="O10" s="57">
        <v>-123683.738633391</v>
      </c>
      <c r="P10" s="60" t="s">
        <v>359</v>
      </c>
      <c r="Q10" s="61">
        <v>14.3384777314667</v>
      </c>
      <c r="R10" s="61">
        <v>14.970613</v>
      </c>
      <c r="S10" s="62">
        <v>14.65</v>
      </c>
    </row>
    <row r="11" spans="1:19" s="55" customFormat="1" ht="15.75" customHeight="1">
      <c r="A11" s="55" t="str">
        <f t="shared" si="0"/>
        <v>Trastuzumab ADC_intact_deglyc</v>
      </c>
      <c r="B11" s="56">
        <v>0</v>
      </c>
      <c r="C11" s="55" t="s">
        <v>144</v>
      </c>
      <c r="D11" s="55" t="s">
        <v>216</v>
      </c>
      <c r="E11" s="57">
        <v>147319.45796211399</v>
      </c>
      <c r="F11" s="57">
        <v>147322.57804399999</v>
      </c>
      <c r="G11" s="58">
        <v>21.179020947305201</v>
      </c>
      <c r="H11" s="59">
        <v>11247192.5</v>
      </c>
      <c r="I11" s="57">
        <v>8.8616172661432895</v>
      </c>
      <c r="J11" s="57">
        <v>2.5496014038538499</v>
      </c>
      <c r="K11" s="57">
        <v>54.513462161235203</v>
      </c>
      <c r="L11" s="60">
        <v>13</v>
      </c>
      <c r="M11" s="60" t="s">
        <v>117</v>
      </c>
      <c r="N11" s="60">
        <v>4</v>
      </c>
      <c r="O11" s="57">
        <v>79.867966462334195</v>
      </c>
      <c r="P11" s="60" t="s">
        <v>360</v>
      </c>
      <c r="Q11" s="61">
        <v>14.543077948000001</v>
      </c>
      <c r="R11" s="61">
        <v>16.544367662666701</v>
      </c>
      <c r="S11" s="62">
        <v>15.6</v>
      </c>
    </row>
    <row r="12" spans="1:19" s="55" customFormat="1" ht="15.75" customHeight="1">
      <c r="A12" s="55">
        <f t="shared" si="0"/>
        <v>0</v>
      </c>
      <c r="B12" s="56"/>
      <c r="E12" s="57">
        <v>148841.84799534199</v>
      </c>
      <c r="F12" s="57">
        <v>0</v>
      </c>
      <c r="G12" s="58">
        <v>0</v>
      </c>
      <c r="H12" s="59">
        <v>9286001.25</v>
      </c>
      <c r="I12" s="57">
        <v>7.3164029948888398</v>
      </c>
      <c r="J12" s="57">
        <v>2.1050233593588299</v>
      </c>
      <c r="K12" s="57">
        <v>51.590057598707403</v>
      </c>
      <c r="L12" s="60">
        <v>10</v>
      </c>
      <c r="M12" s="60" t="s">
        <v>361</v>
      </c>
      <c r="N12" s="60">
        <v>3</v>
      </c>
      <c r="O12" s="57">
        <v>1602.2579996898401</v>
      </c>
      <c r="P12" s="60" t="s">
        <v>349</v>
      </c>
      <c r="Q12" s="61">
        <v>14.543077948000001</v>
      </c>
      <c r="R12" s="61">
        <v>15.7059098304</v>
      </c>
      <c r="S12" s="62">
        <v>15.49</v>
      </c>
    </row>
    <row r="13" spans="1:19" s="55" customFormat="1" ht="15.75" customHeight="1">
      <c r="A13" s="55" t="str">
        <f t="shared" si="0"/>
        <v>Trastuzumab ADC_intact_deglyc</v>
      </c>
      <c r="B13" s="56">
        <v>0</v>
      </c>
      <c r="C13" s="55" t="s">
        <v>144</v>
      </c>
      <c r="D13" s="55" t="s">
        <v>36</v>
      </c>
      <c r="E13" s="57">
        <v>147343.022069951</v>
      </c>
      <c r="F13" s="57">
        <v>147340.59304400001</v>
      </c>
      <c r="G13" s="58">
        <v>16.485517379842101</v>
      </c>
      <c r="H13" s="59">
        <v>7700727.1875</v>
      </c>
      <c r="I13" s="57">
        <v>6.0673717677816104</v>
      </c>
      <c r="J13" s="57">
        <v>1.7456609907924601</v>
      </c>
      <c r="K13" s="57">
        <v>49.488027914920103</v>
      </c>
      <c r="L13" s="60">
        <v>12</v>
      </c>
      <c r="M13" s="60" t="s">
        <v>362</v>
      </c>
      <c r="N13" s="60">
        <v>4</v>
      </c>
      <c r="O13" s="57">
        <v>103.432074299606</v>
      </c>
      <c r="P13" s="60" t="s">
        <v>363</v>
      </c>
      <c r="Q13" s="61">
        <v>15.175690577599999</v>
      </c>
      <c r="R13" s="61">
        <v>16.956100773066701</v>
      </c>
      <c r="S13" s="62">
        <v>15.39</v>
      </c>
    </row>
    <row r="14" spans="1:19" s="55" customFormat="1" ht="15.75" customHeight="1">
      <c r="A14" s="55">
        <f t="shared" si="0"/>
        <v>0</v>
      </c>
      <c r="B14" s="56"/>
      <c r="E14" s="57">
        <v>46877.0748448964</v>
      </c>
      <c r="F14" s="57">
        <v>0</v>
      </c>
      <c r="G14" s="58">
        <v>0</v>
      </c>
      <c r="H14" s="59">
        <v>6448362.5</v>
      </c>
      <c r="I14" s="57">
        <v>5.0806384813628096</v>
      </c>
      <c r="J14" s="57">
        <v>1.46176511753076</v>
      </c>
      <c r="K14" s="57">
        <v>59.146806215478598</v>
      </c>
      <c r="L14" s="60">
        <v>13</v>
      </c>
      <c r="M14" s="60" t="s">
        <v>364</v>
      </c>
      <c r="N14" s="60">
        <v>4</v>
      </c>
      <c r="O14" s="57">
        <v>-100362.515150755</v>
      </c>
      <c r="P14" s="60" t="s">
        <v>365</v>
      </c>
      <c r="Q14" s="61">
        <v>14.3384777314667</v>
      </c>
      <c r="R14" s="61">
        <v>15.075014960000001</v>
      </c>
      <c r="S14" s="62">
        <v>14.76</v>
      </c>
    </row>
    <row r="15" spans="1:19" s="55" customFormat="1" ht="15.75" customHeight="1">
      <c r="A15" s="55">
        <f t="shared" si="0"/>
        <v>0</v>
      </c>
      <c r="B15" s="56"/>
      <c r="E15" s="57">
        <v>74002.4686374101</v>
      </c>
      <c r="F15" s="57">
        <v>0</v>
      </c>
      <c r="G15" s="58">
        <v>0</v>
      </c>
      <c r="H15" s="59">
        <v>4612349</v>
      </c>
      <c r="I15" s="57">
        <v>3.6340511693038802</v>
      </c>
      <c r="J15" s="57">
        <v>1.04556331927505</v>
      </c>
      <c r="K15" s="57">
        <v>38.068709106474699</v>
      </c>
      <c r="L15" s="60">
        <v>19</v>
      </c>
      <c r="M15" s="60" t="s">
        <v>366</v>
      </c>
      <c r="N15" s="60">
        <v>3</v>
      </c>
      <c r="O15" s="57">
        <v>-73237.121358241595</v>
      </c>
      <c r="P15" s="60" t="s">
        <v>367</v>
      </c>
      <c r="Q15" s="61">
        <v>15.175690577599999</v>
      </c>
      <c r="R15" s="61">
        <v>16.023003026133299</v>
      </c>
      <c r="S15" s="62">
        <v>15.71</v>
      </c>
    </row>
    <row r="16" spans="1:19" s="55" customFormat="1" ht="15.75" customHeight="1">
      <c r="A16" s="55">
        <f t="shared" si="0"/>
        <v>0</v>
      </c>
      <c r="B16" s="56"/>
      <c r="E16" s="57">
        <v>144776.54803887499</v>
      </c>
      <c r="F16" s="57">
        <v>0</v>
      </c>
      <c r="G16" s="58">
        <v>0</v>
      </c>
      <c r="H16" s="59">
        <v>3854149.5</v>
      </c>
      <c r="I16" s="57">
        <v>3.0366687752449901</v>
      </c>
      <c r="J16" s="57">
        <v>0.87368871165131601</v>
      </c>
      <c r="K16" s="57">
        <v>45.2099322523936</v>
      </c>
      <c r="L16" s="60">
        <v>12</v>
      </c>
      <c r="M16" s="60" t="s">
        <v>368</v>
      </c>
      <c r="N16" s="60">
        <v>3</v>
      </c>
      <c r="O16" s="57">
        <v>-2463.0419567762601</v>
      </c>
      <c r="P16" s="60" t="s">
        <v>369</v>
      </c>
      <c r="Q16" s="61">
        <v>14.439250899999999</v>
      </c>
      <c r="R16" s="61">
        <v>16.023003026133299</v>
      </c>
      <c r="S16" s="62">
        <v>15.81</v>
      </c>
    </row>
    <row r="17" spans="1:19" s="55" customFormat="1" ht="15.75" customHeight="1">
      <c r="A17" s="55">
        <f t="shared" si="0"/>
        <v>0</v>
      </c>
      <c r="B17" s="56"/>
      <c r="E17" s="57">
        <v>73239.890733116597</v>
      </c>
      <c r="F17" s="57">
        <v>0</v>
      </c>
      <c r="G17" s="58">
        <v>0</v>
      </c>
      <c r="H17" s="59">
        <v>3450977.4375</v>
      </c>
      <c r="I17" s="57">
        <v>2.7190111722391599</v>
      </c>
      <c r="J17" s="57">
        <v>0.78229452859820403</v>
      </c>
      <c r="K17" s="57">
        <v>36.087953198987201</v>
      </c>
      <c r="L17" s="60">
        <v>14</v>
      </c>
      <c r="M17" s="60" t="s">
        <v>370</v>
      </c>
      <c r="N17" s="60">
        <v>3</v>
      </c>
      <c r="O17" s="57">
        <v>-73999.699262535098</v>
      </c>
      <c r="P17" s="60" t="s">
        <v>371</v>
      </c>
      <c r="Q17" s="61">
        <v>15.075014960000001</v>
      </c>
      <c r="R17" s="61">
        <v>16.128681638666698</v>
      </c>
      <c r="S17" s="62">
        <v>15.28</v>
      </c>
    </row>
    <row r="18" spans="1:19" s="55" customFormat="1" ht="15.75" customHeight="1">
      <c r="A18" s="55">
        <f t="shared" si="0"/>
        <v>0</v>
      </c>
      <c r="B18" s="56"/>
      <c r="E18" s="57">
        <v>83079.244587833498</v>
      </c>
      <c r="F18" s="57">
        <v>0</v>
      </c>
      <c r="G18" s="58">
        <v>0</v>
      </c>
      <c r="H18" s="59">
        <v>1942457.875</v>
      </c>
      <c r="I18" s="57">
        <v>1.5304547703032201</v>
      </c>
      <c r="J18" s="57">
        <v>0.44033154600437302</v>
      </c>
      <c r="K18" s="57">
        <v>37.6678575973094</v>
      </c>
      <c r="L18" s="60">
        <v>8</v>
      </c>
      <c r="M18" s="60" t="s">
        <v>372</v>
      </c>
      <c r="N18" s="60">
        <v>3</v>
      </c>
      <c r="O18" s="57">
        <v>-64160.345407818102</v>
      </c>
      <c r="P18" s="60" t="s">
        <v>373</v>
      </c>
      <c r="Q18" s="61">
        <v>14.7595480445333</v>
      </c>
      <c r="R18" s="61">
        <v>15.3896265530667</v>
      </c>
      <c r="S18" s="62">
        <v>15.07</v>
      </c>
    </row>
    <row r="19" spans="1:19" s="55" customFormat="1" ht="15.75" customHeight="1">
      <c r="A19" s="55">
        <f t="shared" si="0"/>
        <v>0</v>
      </c>
      <c r="B19" s="56"/>
      <c r="E19" s="57">
        <v>41556.704020365098</v>
      </c>
      <c r="F19" s="57">
        <v>0</v>
      </c>
      <c r="G19" s="58">
        <v>0</v>
      </c>
      <c r="H19" s="59">
        <v>1859083.2578125</v>
      </c>
      <c r="I19" s="57">
        <v>1.4647642035897701</v>
      </c>
      <c r="J19" s="57">
        <v>0.42143152402390799</v>
      </c>
      <c r="K19" s="57">
        <v>36.203162536380901</v>
      </c>
      <c r="L19" s="60">
        <v>6</v>
      </c>
      <c r="M19" s="60" t="s">
        <v>227</v>
      </c>
      <c r="N19" s="60">
        <v>9</v>
      </c>
      <c r="O19" s="57">
        <v>-105682.885975287</v>
      </c>
      <c r="P19" s="60" t="s">
        <v>374</v>
      </c>
      <c r="Q19" s="61">
        <v>13.510710721866699</v>
      </c>
      <c r="R19" s="61">
        <v>14.865580648</v>
      </c>
      <c r="S19" s="62">
        <v>14.23</v>
      </c>
    </row>
    <row r="20" spans="1:19" s="55" customFormat="1" ht="15.75" customHeight="1">
      <c r="A20" s="55">
        <f t="shared" si="0"/>
        <v>0</v>
      </c>
      <c r="B20" s="56"/>
      <c r="E20" s="57">
        <v>37817.003557650503</v>
      </c>
      <c r="F20" s="57">
        <v>0</v>
      </c>
      <c r="G20" s="58">
        <v>0</v>
      </c>
      <c r="H20" s="59">
        <v>1028540.90625</v>
      </c>
      <c r="I20" s="57">
        <v>0.81038324246201299</v>
      </c>
      <c r="J20" s="57">
        <v>0.23315769464956901</v>
      </c>
      <c r="K20" s="57">
        <v>38.0705039736334</v>
      </c>
      <c r="L20" s="60">
        <v>6</v>
      </c>
      <c r="M20" s="60" t="s">
        <v>165</v>
      </c>
      <c r="N20" s="60">
        <v>4</v>
      </c>
      <c r="O20" s="57">
        <v>-109422.586438001</v>
      </c>
      <c r="P20" s="60" t="s">
        <v>375</v>
      </c>
      <c r="Q20" s="61">
        <v>13.929773796799999</v>
      </c>
      <c r="R20" s="61">
        <v>14.7595480445333</v>
      </c>
      <c r="S20" s="62">
        <v>14.23</v>
      </c>
    </row>
    <row r="21" spans="1:19" s="55" customFormat="1" ht="15.75" customHeight="1">
      <c r="A21" s="55">
        <f t="shared" si="0"/>
        <v>0</v>
      </c>
      <c r="B21" s="56"/>
      <c r="E21" s="57">
        <v>43403.459282113501</v>
      </c>
      <c r="F21" s="57">
        <v>0</v>
      </c>
      <c r="G21" s="58">
        <v>0</v>
      </c>
      <c r="H21" s="59">
        <v>482137.3671875</v>
      </c>
      <c r="I21" s="57">
        <v>0.37987407525300598</v>
      </c>
      <c r="J21" s="57">
        <v>0.109294663317621</v>
      </c>
      <c r="K21" s="57">
        <v>32.172366950991403</v>
      </c>
      <c r="L21" s="60">
        <v>7</v>
      </c>
      <c r="M21" s="60" t="s">
        <v>307</v>
      </c>
      <c r="N21" s="60">
        <v>3</v>
      </c>
      <c r="O21" s="57">
        <v>-103836.130713538</v>
      </c>
      <c r="P21" s="60" t="s">
        <v>376</v>
      </c>
      <c r="Q21" s="61">
        <v>13.510710721866699</v>
      </c>
      <c r="R21" s="61">
        <v>14.7595480445333</v>
      </c>
      <c r="S21" s="62">
        <v>14.44</v>
      </c>
    </row>
    <row r="22" spans="1:19" s="55" customFormat="1" ht="15.75" customHeight="1">
      <c r="A22" s="55">
        <f t="shared" si="0"/>
        <v>0</v>
      </c>
      <c r="B22" s="56"/>
      <c r="E22" s="57">
        <v>45381.651044301398</v>
      </c>
      <c r="F22" s="57">
        <v>0</v>
      </c>
      <c r="G22" s="58">
        <v>0</v>
      </c>
      <c r="H22" s="59">
        <v>454314.59375</v>
      </c>
      <c r="I22" s="57">
        <v>0.35795262819764001</v>
      </c>
      <c r="J22" s="57">
        <v>0.102987580704112</v>
      </c>
      <c r="K22" s="57">
        <v>31.570539851362</v>
      </c>
      <c r="L22" s="60">
        <v>7</v>
      </c>
      <c r="M22" s="60" t="s">
        <v>73</v>
      </c>
      <c r="N22" s="60">
        <v>3</v>
      </c>
      <c r="O22" s="57">
        <v>-101857.93895135001</v>
      </c>
      <c r="P22" s="60" t="s">
        <v>376</v>
      </c>
      <c r="Q22" s="61">
        <v>13.510710721866699</v>
      </c>
      <c r="R22" s="61">
        <v>14.7595480445333</v>
      </c>
      <c r="S22" s="62">
        <v>14.44</v>
      </c>
    </row>
    <row r="23" spans="1:19" s="55" customFormat="1" ht="15.75" customHeight="1">
      <c r="B23" s="56"/>
      <c r="E23" s="57"/>
      <c r="F23" s="57"/>
      <c r="G23" s="58"/>
      <c r="H23" s="59"/>
      <c r="I23" s="57"/>
      <c r="J23" s="57"/>
      <c r="K23" s="57"/>
      <c r="L23" s="60"/>
      <c r="M23" s="60"/>
      <c r="N23" s="60"/>
      <c r="O23" s="57"/>
      <c r="P23" s="60"/>
      <c r="Q23" s="61"/>
      <c r="R23" s="61"/>
      <c r="S23" s="62"/>
    </row>
    <row r="24" spans="1:19" ht="15.75" customHeight="1">
      <c r="E24" s="20"/>
      <c r="F24" s="20"/>
      <c r="G24" s="29"/>
      <c r="H24" s="21"/>
      <c r="I24" s="20"/>
      <c r="J24" s="20"/>
      <c r="K24" s="20"/>
      <c r="L24" s="22"/>
      <c r="M24" s="22"/>
      <c r="N24" s="22"/>
      <c r="O24" s="20"/>
      <c r="P24" s="22"/>
      <c r="Q24" s="30"/>
      <c r="R24" s="30"/>
      <c r="S24" s="31"/>
    </row>
    <row r="25" spans="1:19" ht="15.75" customHeight="1">
      <c r="E25" s="20"/>
      <c r="F25" s="20"/>
      <c r="G25" s="29"/>
      <c r="H25" s="21"/>
      <c r="I25" s="20"/>
      <c r="J25" s="20"/>
      <c r="K25" s="20"/>
      <c r="L25" s="22"/>
      <c r="M25" s="22"/>
      <c r="N25" s="22"/>
      <c r="O25" s="20"/>
      <c r="P25" s="22"/>
      <c r="Q25" s="30"/>
      <c r="R25" s="30"/>
      <c r="S25" s="31"/>
    </row>
    <row r="26" spans="1:19" ht="15.75" customHeight="1">
      <c r="E26" s="20"/>
      <c r="F26" s="20"/>
      <c r="G26" s="29"/>
      <c r="H26" s="21"/>
      <c r="I26" s="20"/>
      <c r="J26" s="20"/>
      <c r="K26" s="20"/>
      <c r="L26" s="22"/>
      <c r="M26" s="22"/>
      <c r="N26" s="22"/>
      <c r="O26" s="20"/>
      <c r="P26" s="22"/>
      <c r="Q26" s="30"/>
      <c r="R26" s="30"/>
      <c r="S26" s="31"/>
    </row>
    <row r="27" spans="1:19" ht="15.75" customHeight="1">
      <c r="E27" s="20"/>
      <c r="F27" s="20"/>
      <c r="G27" s="29"/>
      <c r="H27" s="21"/>
      <c r="I27" s="20"/>
      <c r="J27" s="20"/>
      <c r="K27" s="20"/>
      <c r="L27" s="22"/>
      <c r="M27" s="22"/>
      <c r="N27" s="22"/>
      <c r="O27" s="20"/>
      <c r="P27" s="22"/>
      <c r="Q27" s="30"/>
      <c r="R27" s="30"/>
      <c r="S27" s="31"/>
    </row>
    <row r="28" spans="1:19" ht="15.75" customHeight="1">
      <c r="E28" s="20"/>
      <c r="F28" s="20"/>
      <c r="G28" s="29"/>
      <c r="H28" s="21"/>
      <c r="I28" s="20"/>
      <c r="J28" s="20"/>
      <c r="K28" s="20"/>
      <c r="L28" s="22"/>
      <c r="M28" s="22"/>
      <c r="N28" s="22"/>
      <c r="O28" s="20"/>
      <c r="P28" s="22"/>
      <c r="Q28" s="30"/>
      <c r="R28" s="30"/>
      <c r="S28" s="31"/>
    </row>
    <row r="29" spans="1:19" ht="15.75" customHeight="1">
      <c r="E29" s="20"/>
      <c r="F29" s="20"/>
      <c r="G29" s="29"/>
      <c r="H29" s="21"/>
      <c r="I29" s="20"/>
      <c r="J29" s="20"/>
      <c r="K29" s="20"/>
      <c r="L29" s="22"/>
      <c r="M29" s="22"/>
      <c r="N29" s="22"/>
      <c r="O29" s="20"/>
      <c r="P29" s="22"/>
      <c r="Q29" s="30"/>
      <c r="R29" s="30"/>
      <c r="S29" s="31"/>
    </row>
    <row r="30" spans="1:19" ht="15.75" customHeight="1">
      <c r="E30" s="20"/>
      <c r="F30" s="20"/>
      <c r="G30" s="29"/>
      <c r="H30" s="21"/>
      <c r="I30" s="20"/>
      <c r="J30" s="20"/>
      <c r="K30" s="20"/>
      <c r="L30" s="22"/>
      <c r="M30" s="22"/>
      <c r="N30" s="22"/>
      <c r="O30" s="20"/>
      <c r="P30" s="22"/>
      <c r="Q30" s="30"/>
      <c r="R30" s="30"/>
      <c r="S30" s="31"/>
    </row>
    <row r="31" spans="1:19" ht="15.75" customHeight="1">
      <c r="E31" s="20"/>
      <c r="F31" s="20"/>
      <c r="G31" s="29"/>
      <c r="H31" s="21"/>
      <c r="I31" s="20"/>
      <c r="J31" s="20"/>
      <c r="K31" s="20"/>
      <c r="L31" s="22"/>
      <c r="M31" s="22"/>
      <c r="N31" s="22"/>
      <c r="O31" s="20"/>
      <c r="P31" s="22"/>
      <c r="Q31" s="30"/>
      <c r="R31" s="30"/>
      <c r="S31" s="31"/>
    </row>
    <row r="32" spans="1:19" ht="15.75" customHeight="1">
      <c r="E32" s="20"/>
      <c r="F32" s="20"/>
      <c r="G32" s="29"/>
      <c r="H32" s="21"/>
      <c r="I32" s="20"/>
      <c r="J32" s="20"/>
      <c r="K32" s="20"/>
      <c r="L32" s="22"/>
      <c r="M32" s="22"/>
      <c r="N32" s="22"/>
      <c r="O32" s="20"/>
      <c r="P32" s="22"/>
      <c r="Q32" s="30"/>
      <c r="R32" s="30"/>
      <c r="S32" s="31"/>
    </row>
    <row r="33" spans="5:19" ht="15.75" customHeight="1">
      <c r="E33" s="20"/>
      <c r="F33" s="20"/>
      <c r="G33" s="29"/>
      <c r="H33" s="21"/>
      <c r="I33" s="20"/>
      <c r="J33" s="20"/>
      <c r="K33" s="20"/>
      <c r="L33" s="22"/>
      <c r="M33" s="22"/>
      <c r="N33" s="22"/>
      <c r="O33" s="20"/>
      <c r="P33" s="22"/>
      <c r="Q33" s="30"/>
      <c r="R33" s="30"/>
      <c r="S33" s="31"/>
    </row>
    <row r="34" spans="5:19" ht="15.75" customHeight="1">
      <c r="E34" s="20"/>
      <c r="F34" s="20"/>
      <c r="G34" s="29"/>
      <c r="H34" s="21"/>
      <c r="I34" s="20"/>
      <c r="J34" s="20"/>
      <c r="K34" s="20"/>
      <c r="L34" s="22"/>
      <c r="M34" s="22"/>
      <c r="N34" s="22"/>
      <c r="O34" s="20"/>
      <c r="P34" s="22"/>
      <c r="Q34" s="30"/>
      <c r="R34" s="30"/>
      <c r="S34" s="31"/>
    </row>
    <row r="35" spans="5:19" ht="15.75" customHeight="1">
      <c r="E35" s="20"/>
      <c r="F35" s="20"/>
      <c r="G35" s="29"/>
      <c r="H35" s="21"/>
      <c r="I35" s="20"/>
      <c r="J35" s="20"/>
      <c r="K35" s="20"/>
      <c r="L35" s="22"/>
      <c r="M35" s="22"/>
      <c r="N35" s="22"/>
      <c r="O35" s="20"/>
      <c r="P35" s="22"/>
      <c r="Q35" s="30"/>
      <c r="R35" s="30"/>
      <c r="S35" s="31"/>
    </row>
    <row r="36" spans="5:19" ht="15.75" customHeight="1">
      <c r="E36" s="20"/>
      <c r="F36" s="20"/>
      <c r="G36" s="29"/>
      <c r="H36" s="21"/>
      <c r="I36" s="20"/>
      <c r="J36" s="20"/>
      <c r="K36" s="20"/>
      <c r="L36" s="22"/>
      <c r="M36" s="22"/>
      <c r="N36" s="22"/>
      <c r="O36" s="20"/>
      <c r="P36" s="22"/>
      <c r="Q36" s="30"/>
      <c r="R36" s="30"/>
      <c r="S36" s="31"/>
    </row>
    <row r="37" spans="5:19" ht="15.75" customHeight="1">
      <c r="E37" s="20"/>
      <c r="F37" s="20"/>
      <c r="G37" s="29"/>
      <c r="H37" s="21"/>
      <c r="I37" s="20"/>
      <c r="J37" s="20"/>
      <c r="K37" s="20"/>
      <c r="L37" s="22"/>
      <c r="M37" s="22"/>
      <c r="N37" s="22"/>
      <c r="O37" s="20"/>
      <c r="P37" s="22"/>
      <c r="Q37" s="30"/>
      <c r="R37" s="30"/>
      <c r="S37" s="31"/>
    </row>
    <row r="38" spans="5:19" ht="15.75" customHeight="1">
      <c r="E38" s="20"/>
      <c r="F38" s="20"/>
      <c r="G38" s="29"/>
      <c r="H38" s="21"/>
      <c r="I38" s="20"/>
      <c r="J38" s="20"/>
      <c r="K38" s="20"/>
      <c r="L38" s="22"/>
      <c r="M38" s="22"/>
      <c r="N38" s="22"/>
      <c r="O38" s="20"/>
      <c r="P38" s="22"/>
      <c r="Q38" s="30"/>
      <c r="R38" s="30"/>
      <c r="S38" s="31"/>
    </row>
    <row r="39" spans="5:19" ht="15.75" customHeight="1">
      <c r="E39" s="20"/>
      <c r="F39" s="20"/>
      <c r="G39" s="29"/>
      <c r="H39" s="21"/>
      <c r="I39" s="20"/>
      <c r="J39" s="20"/>
      <c r="K39" s="20"/>
      <c r="L39" s="22"/>
      <c r="M39" s="22"/>
      <c r="N39" s="22"/>
      <c r="O39" s="20"/>
      <c r="P39" s="22"/>
      <c r="Q39" s="30"/>
      <c r="R39" s="30"/>
      <c r="S39" s="31"/>
    </row>
    <row r="40" spans="5:19" ht="15.75" customHeight="1">
      <c r="E40" s="20"/>
      <c r="F40" s="20"/>
      <c r="G40" s="29"/>
      <c r="H40" s="21"/>
      <c r="I40" s="20"/>
      <c r="J40" s="20"/>
      <c r="K40" s="20"/>
      <c r="L40" s="22"/>
      <c r="M40" s="22"/>
      <c r="N40" s="22"/>
      <c r="O40" s="20"/>
      <c r="P40" s="22"/>
      <c r="Q40" s="30"/>
      <c r="R40" s="30"/>
      <c r="S40" s="31"/>
    </row>
    <row r="41" spans="5:19" ht="15.75" customHeight="1">
      <c r="E41" s="20"/>
      <c r="F41" s="20"/>
      <c r="G41" s="29"/>
      <c r="H41" s="21"/>
      <c r="I41" s="20"/>
      <c r="J41" s="20"/>
      <c r="K41" s="20"/>
      <c r="L41" s="22"/>
      <c r="M41" s="22"/>
      <c r="N41" s="22"/>
      <c r="O41" s="20"/>
      <c r="P41" s="22"/>
      <c r="Q41" s="30"/>
      <c r="R41" s="30"/>
      <c r="S41" s="31"/>
    </row>
    <row r="42" spans="5:19" ht="15.75" customHeight="1">
      <c r="E42" s="20"/>
      <c r="F42" s="20"/>
      <c r="G42" s="29"/>
      <c r="H42" s="21"/>
      <c r="I42" s="20"/>
      <c r="J42" s="20"/>
      <c r="K42" s="20"/>
      <c r="L42" s="22"/>
      <c r="M42" s="22"/>
      <c r="N42" s="22"/>
      <c r="O42" s="20"/>
      <c r="P42" s="22"/>
      <c r="Q42" s="30"/>
      <c r="R42" s="30"/>
      <c r="S42" s="31"/>
    </row>
    <row r="43" spans="5:19" ht="15.75" customHeight="1">
      <c r="E43" s="20"/>
      <c r="F43" s="20"/>
      <c r="G43" s="29"/>
      <c r="H43" s="21"/>
      <c r="I43" s="20"/>
      <c r="J43" s="20"/>
      <c r="K43" s="20"/>
      <c r="L43" s="22"/>
      <c r="M43" s="22"/>
      <c r="N43" s="22"/>
      <c r="O43" s="20"/>
      <c r="P43" s="22"/>
      <c r="Q43" s="30"/>
      <c r="R43" s="30"/>
      <c r="S43" s="31"/>
    </row>
    <row r="44" spans="5:19" ht="15.75" customHeight="1">
      <c r="E44" s="20"/>
      <c r="F44" s="20"/>
      <c r="G44" s="29"/>
      <c r="H44" s="21"/>
      <c r="I44" s="20"/>
      <c r="J44" s="20"/>
      <c r="K44" s="20"/>
      <c r="L44" s="22"/>
      <c r="M44" s="22"/>
      <c r="N44" s="22"/>
      <c r="O44" s="20"/>
      <c r="P44" s="22"/>
      <c r="Q44" s="30"/>
      <c r="R44" s="30"/>
      <c r="S44" s="31"/>
    </row>
    <row r="45" spans="5:19" ht="15.75" customHeight="1">
      <c r="E45" s="20"/>
      <c r="F45" s="20"/>
      <c r="G45" s="29"/>
      <c r="H45" s="21"/>
      <c r="I45" s="20"/>
      <c r="J45" s="20"/>
      <c r="K45" s="20"/>
      <c r="L45" s="22"/>
      <c r="M45" s="22"/>
      <c r="N45" s="22"/>
      <c r="O45" s="20"/>
      <c r="P45" s="22"/>
      <c r="Q45" s="30"/>
      <c r="R45" s="30"/>
      <c r="S45" s="31"/>
    </row>
    <row r="46" spans="5:19" ht="15.75" customHeight="1">
      <c r="E46" s="20"/>
      <c r="F46" s="20"/>
      <c r="G46" s="29"/>
      <c r="H46" s="21"/>
      <c r="I46" s="20"/>
      <c r="J46" s="20"/>
      <c r="K46" s="20"/>
      <c r="L46" s="22"/>
      <c r="M46" s="22"/>
      <c r="N46" s="22"/>
      <c r="O46" s="20"/>
      <c r="P46" s="22"/>
      <c r="Q46" s="30"/>
      <c r="R46" s="30"/>
      <c r="S46" s="31"/>
    </row>
    <row r="47" spans="5:19" ht="15.75" customHeight="1">
      <c r="E47" s="20"/>
      <c r="F47" s="20"/>
      <c r="G47" s="29"/>
      <c r="H47" s="21"/>
      <c r="I47" s="20"/>
      <c r="J47" s="20"/>
      <c r="K47" s="20"/>
      <c r="L47" s="22"/>
      <c r="M47" s="22"/>
      <c r="N47" s="22"/>
      <c r="O47" s="20"/>
      <c r="P47" s="22"/>
      <c r="Q47" s="30"/>
      <c r="R47" s="30"/>
      <c r="S47" s="31"/>
    </row>
    <row r="48" spans="5:19" ht="15.75" customHeight="1">
      <c r="E48" s="20"/>
      <c r="F48" s="20"/>
      <c r="G48" s="29"/>
      <c r="H48" s="21"/>
      <c r="I48" s="20"/>
      <c r="J48" s="20"/>
      <c r="K48" s="20"/>
      <c r="L48" s="22"/>
      <c r="M48" s="22"/>
      <c r="N48" s="22"/>
      <c r="O48" s="20"/>
      <c r="P48" s="22"/>
      <c r="Q48" s="30"/>
      <c r="R48" s="30"/>
      <c r="S48" s="31"/>
    </row>
    <row r="49" spans="5:19" ht="15.75" customHeight="1">
      <c r="E49" s="20"/>
      <c r="F49" s="20"/>
      <c r="G49" s="29"/>
      <c r="H49" s="21"/>
      <c r="I49" s="20"/>
      <c r="J49" s="20"/>
      <c r="K49" s="20"/>
      <c r="L49" s="22"/>
      <c r="M49" s="22"/>
      <c r="N49" s="22"/>
      <c r="O49" s="20"/>
      <c r="P49" s="22"/>
      <c r="Q49" s="30"/>
      <c r="R49" s="30"/>
      <c r="S49" s="31"/>
    </row>
    <row r="50" spans="5:19" ht="15.75" customHeight="1">
      <c r="E50" s="20"/>
      <c r="F50" s="20"/>
      <c r="G50" s="29"/>
      <c r="H50" s="21"/>
      <c r="I50" s="20"/>
      <c r="J50" s="20"/>
      <c r="K50" s="20"/>
      <c r="L50" s="22"/>
      <c r="M50" s="22"/>
      <c r="N50" s="22"/>
      <c r="O50" s="20"/>
      <c r="P50" s="22"/>
      <c r="Q50" s="30"/>
      <c r="R50" s="30"/>
      <c r="S50" s="31"/>
    </row>
    <row r="51" spans="5:19" ht="15.75" customHeight="1">
      <c r="E51" s="20"/>
      <c r="F51" s="20"/>
      <c r="G51" s="29"/>
      <c r="H51" s="21"/>
      <c r="I51" s="20"/>
      <c r="J51" s="20"/>
      <c r="K51" s="20"/>
      <c r="L51" s="22"/>
      <c r="M51" s="22"/>
      <c r="N51" s="22"/>
      <c r="O51" s="20"/>
      <c r="P51" s="22"/>
      <c r="Q51" s="30"/>
      <c r="R51" s="30"/>
      <c r="S51" s="31"/>
    </row>
    <row r="52" spans="5:19" ht="15.75" customHeight="1">
      <c r="E52" s="20"/>
      <c r="F52" s="20"/>
      <c r="G52" s="29"/>
      <c r="H52" s="21"/>
      <c r="I52" s="20"/>
      <c r="J52" s="20"/>
      <c r="K52" s="20"/>
      <c r="L52" s="22"/>
      <c r="M52" s="22"/>
      <c r="N52" s="22"/>
      <c r="O52" s="20"/>
      <c r="P52" s="22"/>
      <c r="Q52" s="30"/>
      <c r="R52" s="30"/>
      <c r="S52" s="31"/>
    </row>
    <row r="53" spans="5:19" ht="15.75" customHeight="1">
      <c r="E53" s="20"/>
      <c r="F53" s="20"/>
      <c r="G53" s="29"/>
      <c r="H53" s="21"/>
      <c r="I53" s="20"/>
      <c r="J53" s="20"/>
      <c r="K53" s="20"/>
      <c r="L53" s="22"/>
      <c r="M53" s="22"/>
      <c r="N53" s="22"/>
      <c r="O53" s="20"/>
      <c r="P53" s="22"/>
      <c r="Q53" s="30"/>
      <c r="R53" s="30"/>
      <c r="S53" s="31"/>
    </row>
    <row r="54" spans="5:19" ht="15.75" customHeight="1">
      <c r="E54" s="20"/>
      <c r="F54" s="20"/>
      <c r="G54" s="29"/>
      <c r="H54" s="21"/>
      <c r="I54" s="20"/>
      <c r="J54" s="20"/>
      <c r="K54" s="20"/>
      <c r="L54" s="22"/>
      <c r="M54" s="22"/>
      <c r="N54" s="22"/>
      <c r="O54" s="20"/>
      <c r="P54" s="22"/>
      <c r="Q54" s="30"/>
      <c r="R54" s="30"/>
      <c r="S54" s="31"/>
    </row>
    <row r="55" spans="5:19" ht="15.75" customHeight="1">
      <c r="E55" s="20"/>
      <c r="F55" s="20"/>
      <c r="G55" s="29"/>
      <c r="H55" s="21"/>
      <c r="I55" s="20"/>
      <c r="J55" s="20"/>
      <c r="K55" s="20"/>
      <c r="L55" s="22"/>
      <c r="M55" s="22"/>
      <c r="N55" s="22"/>
      <c r="O55" s="20"/>
      <c r="P55" s="22"/>
      <c r="Q55" s="30"/>
      <c r="R55" s="30"/>
      <c r="S55" s="31"/>
    </row>
    <row r="56" spans="5:19" ht="15.75" customHeight="1">
      <c r="E56" s="20"/>
      <c r="F56" s="20"/>
      <c r="G56" s="29"/>
      <c r="H56" s="21"/>
      <c r="I56" s="20"/>
      <c r="J56" s="20"/>
      <c r="K56" s="20"/>
      <c r="L56" s="22"/>
      <c r="M56" s="22"/>
      <c r="N56" s="22"/>
      <c r="O56" s="20"/>
      <c r="P56" s="22"/>
      <c r="Q56" s="30"/>
      <c r="R56" s="30"/>
      <c r="S56" s="31"/>
    </row>
    <row r="57" spans="5:19" ht="15.75" customHeight="1">
      <c r="E57" s="20"/>
      <c r="F57" s="20"/>
      <c r="G57" s="29"/>
      <c r="H57" s="21"/>
      <c r="I57" s="20"/>
      <c r="J57" s="20"/>
      <c r="K57" s="20"/>
      <c r="L57" s="22"/>
      <c r="M57" s="22"/>
      <c r="N57" s="22"/>
      <c r="O57" s="20"/>
      <c r="P57" s="22"/>
      <c r="Q57" s="30"/>
      <c r="R57" s="30"/>
      <c r="S57" s="31"/>
    </row>
    <row r="58" spans="5:19" ht="15.75" customHeight="1">
      <c r="E58" s="20"/>
      <c r="F58" s="20"/>
      <c r="G58" s="29"/>
      <c r="H58" s="21"/>
      <c r="I58" s="20"/>
      <c r="J58" s="20"/>
      <c r="K58" s="20"/>
      <c r="L58" s="22"/>
      <c r="M58" s="22"/>
      <c r="N58" s="22"/>
      <c r="O58" s="20"/>
      <c r="P58" s="22"/>
      <c r="Q58" s="30"/>
      <c r="R58" s="30"/>
      <c r="S58" s="31"/>
    </row>
    <row r="59" spans="5:19" ht="15.75" customHeight="1">
      <c r="E59" s="20"/>
      <c r="F59" s="20"/>
      <c r="G59" s="29"/>
      <c r="H59" s="21"/>
      <c r="I59" s="20"/>
      <c r="J59" s="20"/>
      <c r="K59" s="20"/>
      <c r="L59" s="22"/>
      <c r="M59" s="22"/>
      <c r="N59" s="22"/>
      <c r="O59" s="20"/>
      <c r="P59" s="22"/>
      <c r="Q59" s="30"/>
      <c r="R59" s="30"/>
      <c r="S59" s="31"/>
    </row>
    <row r="60" spans="5:19" ht="15.75" customHeight="1">
      <c r="E60" s="20"/>
      <c r="F60" s="20"/>
      <c r="G60" s="29"/>
      <c r="H60" s="21"/>
      <c r="I60" s="20"/>
      <c r="J60" s="20"/>
      <c r="K60" s="20"/>
      <c r="L60" s="22"/>
      <c r="M60" s="22"/>
      <c r="N60" s="22"/>
      <c r="O60" s="20"/>
      <c r="P60" s="22"/>
      <c r="Q60" s="30"/>
      <c r="R60" s="30"/>
      <c r="S60" s="31"/>
    </row>
    <row r="61" spans="5:19" ht="15.75" customHeight="1">
      <c r="E61" s="18"/>
      <c r="F61" s="18"/>
      <c r="G61" s="18"/>
      <c r="H61" s="2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5:19" ht="15.75" customHeight="1">
      <c r="E62" s="18"/>
      <c r="F62" s="18"/>
      <c r="G62" s="18"/>
      <c r="H62" s="2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5:19" ht="15.75" customHeight="1">
      <c r="E63" s="18"/>
      <c r="F63" s="18"/>
      <c r="G63" s="18"/>
      <c r="H63" s="2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5:19" ht="15.75" customHeight="1">
      <c r="E64" s="18"/>
      <c r="F64" s="18"/>
      <c r="G64" s="18"/>
      <c r="H64" s="2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5:19" ht="15.75" customHeight="1">
      <c r="E65" s="18"/>
      <c r="F65" s="18"/>
      <c r="G65" s="18"/>
      <c r="H65" s="2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5:19" ht="15.75" customHeight="1">
      <c r="E66" s="18"/>
      <c r="F66" s="18"/>
      <c r="G66" s="18"/>
      <c r="H66" s="2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5:19" ht="15.75" customHeight="1"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5:19" ht="15.75" customHeight="1">
      <c r="E68" s="18"/>
      <c r="F68" s="18"/>
      <c r="G68" s="18"/>
      <c r="H68" s="2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5:19" ht="15.75" customHeight="1">
      <c r="E69" s="18"/>
      <c r="F69" s="18"/>
      <c r="G69" s="18"/>
      <c r="H69" s="2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5:19" ht="15.75" customHeight="1">
      <c r="E70" s="18"/>
      <c r="F70" s="18"/>
      <c r="G70" s="18"/>
      <c r="H70" s="2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5:19" ht="15.75" customHeight="1">
      <c r="E71" s="18"/>
      <c r="F71" s="18"/>
      <c r="G71" s="18"/>
      <c r="H71" s="2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5:19" ht="15.75" customHeight="1">
      <c r="E72" s="18"/>
      <c r="F72" s="18"/>
      <c r="G72" s="18"/>
      <c r="H72" s="2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5:19" ht="15.75" customHeight="1">
      <c r="E73" s="18"/>
      <c r="F73" s="18"/>
      <c r="G73" s="18"/>
      <c r="H73" s="2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5:19" ht="15.75" customHeight="1">
      <c r="E74" s="18"/>
      <c r="F74" s="18"/>
      <c r="G74" s="18"/>
      <c r="H74" s="2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5:19" ht="15.75" customHeight="1">
      <c r="E75" s="18"/>
      <c r="F75" s="18"/>
      <c r="G75" s="18"/>
      <c r="H75" s="2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5:19" ht="15.75" customHeight="1">
      <c r="E76" s="18"/>
      <c r="F76" s="18"/>
      <c r="G76" s="18"/>
      <c r="H76" s="2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5:19" ht="15.75" customHeight="1">
      <c r="E77" s="18"/>
      <c r="F77" s="18"/>
      <c r="G77" s="18"/>
      <c r="H77" s="2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5:19" ht="15.75" customHeight="1">
      <c r="E78" s="18"/>
      <c r="F78" s="18"/>
      <c r="G78" s="18"/>
      <c r="H78" s="2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5:19" ht="15.75" customHeight="1">
      <c r="E79" s="18"/>
      <c r="F79" s="18"/>
      <c r="G79" s="18"/>
      <c r="H79" s="2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5:19" ht="15.75" customHeight="1">
      <c r="E80" s="18"/>
      <c r="F80" s="18"/>
      <c r="G80" s="18"/>
      <c r="H80" s="2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5:19" ht="15.75" customHeight="1">
      <c r="E81" s="18"/>
      <c r="F81" s="18"/>
      <c r="G81" s="18"/>
      <c r="H81" s="2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spans="5:19" ht="15.75" customHeight="1">
      <c r="E82" s="18"/>
      <c r="F82" s="18"/>
      <c r="G82" s="18"/>
      <c r="H82" s="2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5:19" ht="15.75" customHeight="1">
      <c r="E83" s="18"/>
      <c r="F83" s="18"/>
      <c r="G83" s="18"/>
      <c r="H83" s="2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5:19" ht="15.75" customHeight="1">
      <c r="E84" s="18"/>
      <c r="F84" s="18"/>
      <c r="G84" s="18"/>
      <c r="H84" s="2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5:19" ht="15.75" customHeight="1">
      <c r="E85" s="18"/>
      <c r="F85" s="18"/>
      <c r="G85" s="18"/>
      <c r="H85" s="2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5:19" ht="15.75" customHeight="1">
      <c r="E86" s="18"/>
      <c r="F86" s="18"/>
      <c r="G86" s="18"/>
      <c r="H86" s="2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5:19" ht="15.75" customHeight="1">
      <c r="E87" s="18"/>
      <c r="F87" s="18"/>
      <c r="G87" s="18"/>
      <c r="H87" s="2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5:19" ht="15.75" customHeight="1">
      <c r="E88" s="18"/>
      <c r="F88" s="18"/>
      <c r="G88" s="18"/>
      <c r="H88" s="2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5:19" ht="15.75" customHeight="1">
      <c r="E89" s="18"/>
      <c r="F89" s="18"/>
      <c r="G89" s="18"/>
      <c r="H89" s="2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5:19" ht="15.75" customHeight="1">
      <c r="E90" s="18"/>
      <c r="F90" s="18"/>
      <c r="G90" s="18"/>
      <c r="H90" s="2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5:19" ht="15.75" customHeight="1">
      <c r="E91" s="18"/>
      <c r="F91" s="18"/>
      <c r="G91" s="18"/>
      <c r="H91" s="2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5:19" ht="15.75" customHeight="1">
      <c r="E92" s="18"/>
      <c r="F92" s="18"/>
      <c r="G92" s="18"/>
      <c r="H92" s="2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5:19" ht="15.75" customHeight="1">
      <c r="E93" s="18"/>
      <c r="F93" s="18"/>
      <c r="G93" s="18"/>
      <c r="H93" s="2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5:19" ht="15.75" customHeight="1">
      <c r="E94" s="18"/>
      <c r="F94" s="18"/>
      <c r="G94" s="18"/>
      <c r="H94" s="2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5:19" ht="15.75" customHeight="1">
      <c r="E95" s="18"/>
      <c r="F95" s="18"/>
      <c r="G95" s="18"/>
      <c r="H95" s="2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5:19" ht="15.75" customHeight="1">
      <c r="E96" s="18"/>
      <c r="F96" s="18"/>
      <c r="G96" s="18"/>
      <c r="H96" s="2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5:19" ht="15.75" customHeight="1">
      <c r="E97" s="18"/>
      <c r="F97" s="18"/>
      <c r="G97" s="18"/>
      <c r="H97" s="2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5:19" ht="15.75" customHeight="1">
      <c r="E98" s="18"/>
      <c r="F98" s="18"/>
      <c r="G98" s="18"/>
      <c r="H98" s="2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5:19" ht="15.75" customHeight="1"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5:19" ht="15.75" customHeight="1">
      <c r="E100" s="18"/>
      <c r="F100" s="18"/>
      <c r="G100" s="18"/>
      <c r="H100" s="2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5:19" ht="15.75" customHeight="1">
      <c r="E101" s="18"/>
      <c r="F101" s="18"/>
      <c r="G101" s="18"/>
      <c r="H101" s="2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5:19" ht="15.75" customHeight="1">
      <c r="E102" s="18"/>
      <c r="F102" s="18"/>
      <c r="G102" s="18"/>
      <c r="H102" s="2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5:19" ht="15.75" customHeight="1">
      <c r="E103" s="18"/>
      <c r="F103" s="18"/>
      <c r="G103" s="18"/>
      <c r="H103" s="2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5:19" ht="15.75" customHeight="1">
      <c r="E104" s="18"/>
      <c r="F104" s="18"/>
      <c r="G104" s="18"/>
      <c r="H104" s="2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5:19" ht="15.75" customHeight="1">
      <c r="E105" s="18"/>
      <c r="F105" s="18"/>
      <c r="G105" s="18"/>
      <c r="H105" s="2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5:19" ht="15.75" customHeight="1">
      <c r="E106" s="18"/>
      <c r="F106" s="18"/>
      <c r="G106" s="18"/>
      <c r="H106" s="2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5:19" ht="15.75" customHeight="1">
      <c r="E107" s="18"/>
      <c r="F107" s="18"/>
      <c r="G107" s="18"/>
      <c r="H107" s="2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5:19" ht="15.75" customHeight="1">
      <c r="E108" s="18"/>
      <c r="F108" s="18"/>
      <c r="G108" s="18"/>
      <c r="H108" s="2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5:19" ht="15.75" customHeight="1">
      <c r="E109" s="18"/>
      <c r="F109" s="18"/>
      <c r="G109" s="18"/>
      <c r="H109" s="2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5:19" ht="15.75" customHeight="1"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5:19" ht="15.75" customHeight="1">
      <c r="E111" s="18"/>
      <c r="F111" s="18"/>
      <c r="G111" s="18"/>
      <c r="H111" s="2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5:19" ht="15.75" customHeight="1">
      <c r="E112" s="18"/>
      <c r="F112" s="18"/>
      <c r="G112" s="18"/>
      <c r="H112" s="2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5:19" ht="15.75" customHeight="1">
      <c r="E113" s="18"/>
      <c r="F113" s="18"/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5:19" ht="15.75" customHeight="1">
      <c r="E114" s="18"/>
      <c r="F114" s="18"/>
      <c r="G114" s="18"/>
      <c r="H114" s="2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5:19" ht="15.75" customHeight="1">
      <c r="E115" s="18"/>
      <c r="F115" s="18"/>
      <c r="G115" s="18"/>
      <c r="H115" s="2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5:19" ht="15.75" customHeight="1">
      <c r="E116" s="18"/>
      <c r="F116" s="18"/>
      <c r="G116" s="18"/>
      <c r="H116" s="2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5:19" ht="15.75" customHeight="1">
      <c r="E117" s="18"/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5:19" ht="15.75" customHeight="1">
      <c r="E118" s="18"/>
      <c r="F118" s="18"/>
      <c r="G118" s="18"/>
      <c r="H118" s="2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5:19" ht="15.75" customHeight="1">
      <c r="E119" s="18"/>
      <c r="F119" s="18"/>
      <c r="G119" s="18"/>
      <c r="H119" s="2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5:19" ht="15.75" customHeight="1"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5:19" ht="15.75" customHeight="1">
      <c r="E121" s="18"/>
      <c r="F121" s="18"/>
      <c r="G121" s="18"/>
      <c r="H121" s="2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5:19" ht="15.75" customHeight="1">
      <c r="E122" s="18"/>
      <c r="F122" s="18"/>
      <c r="G122" s="18"/>
      <c r="H122" s="2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5:19" ht="15.75" customHeight="1">
      <c r="E123" s="18"/>
      <c r="F123" s="18"/>
      <c r="G123" s="18"/>
      <c r="H123" s="2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5:19" ht="15.75" customHeight="1"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5:19" ht="15.75" customHeight="1">
      <c r="E125" s="18"/>
      <c r="F125" s="18"/>
      <c r="G125" s="18"/>
      <c r="H125" s="2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5:19" ht="15.75" customHeight="1">
      <c r="E126" s="18"/>
      <c r="F126" s="18"/>
      <c r="G126" s="18"/>
      <c r="H126" s="2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5:19" ht="15.75" customHeight="1">
      <c r="E127" s="18"/>
      <c r="F127" s="18"/>
      <c r="G127" s="18"/>
      <c r="H127" s="2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5:19" ht="15.75" customHeight="1">
      <c r="E128" s="18"/>
      <c r="F128" s="18"/>
      <c r="G128" s="18"/>
      <c r="H128" s="2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5:19" ht="15.75" customHeight="1">
      <c r="E129" s="18"/>
      <c r="F129" s="18"/>
      <c r="G129" s="18"/>
      <c r="H129" s="2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5:19" ht="15.75" customHeight="1">
      <c r="E130" s="18"/>
      <c r="F130" s="18"/>
      <c r="G130" s="18"/>
      <c r="H130" s="2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5:19" ht="15.75" customHeight="1">
      <c r="E131" s="18"/>
      <c r="F131" s="18"/>
      <c r="G131" s="18"/>
      <c r="H131" s="2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5:19" ht="15.75" customHeight="1">
      <c r="E132" s="18"/>
      <c r="F132" s="18"/>
      <c r="G132" s="18"/>
      <c r="H132" s="2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5:19" ht="15.75" customHeight="1">
      <c r="E133" s="18"/>
      <c r="F133" s="18"/>
      <c r="G133" s="18"/>
      <c r="H133" s="2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5:19" ht="15.75" customHeight="1">
      <c r="E134" s="18"/>
      <c r="F134" s="18"/>
      <c r="G134" s="18"/>
      <c r="H134" s="2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5:19" ht="15.75" customHeight="1"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5:19" ht="15.75" customHeight="1">
      <c r="E136" s="18"/>
      <c r="F136" s="18"/>
      <c r="G136" s="18"/>
      <c r="H136" s="2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5:19" ht="15.75" customHeight="1">
      <c r="E137" s="18"/>
      <c r="F137" s="18"/>
      <c r="G137" s="18"/>
      <c r="H137" s="2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5:19" ht="15.75" customHeight="1">
      <c r="E138" s="18"/>
      <c r="F138" s="18"/>
      <c r="G138" s="18"/>
      <c r="H138" s="2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5:19" ht="15.75" customHeight="1">
      <c r="E139" s="18"/>
      <c r="F139" s="18"/>
      <c r="G139" s="18"/>
      <c r="H139" s="2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5:19" ht="15.75" customHeight="1">
      <c r="E140" s="18"/>
      <c r="F140" s="18"/>
      <c r="G140" s="18"/>
      <c r="H140" s="2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5:19" ht="15.75" customHeight="1">
      <c r="E141" s="18"/>
      <c r="F141" s="18"/>
      <c r="G141" s="18"/>
      <c r="H141" s="2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5:19" ht="15.75" customHeight="1">
      <c r="E142" s="18"/>
      <c r="F142" s="18"/>
      <c r="G142" s="18"/>
      <c r="H142" s="2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5:19" ht="15.75" customHeight="1">
      <c r="E143" s="18"/>
      <c r="F143" s="18"/>
      <c r="G143" s="18"/>
      <c r="H143" s="2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5:19" ht="15.75" customHeight="1">
      <c r="E144" s="18"/>
      <c r="F144" s="18"/>
      <c r="G144" s="18"/>
      <c r="H144" s="2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5:19" ht="15.75" customHeight="1"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5:19" ht="15.75" customHeight="1">
      <c r="E146" s="18"/>
      <c r="F146" s="18"/>
      <c r="G146" s="18"/>
      <c r="H146" s="2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5:19" ht="15.75" customHeight="1">
      <c r="E147" s="18"/>
      <c r="F147" s="18"/>
      <c r="G147" s="18"/>
      <c r="H147" s="2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5:19" ht="15.75" customHeight="1">
      <c r="E148" s="18"/>
      <c r="F148" s="18"/>
      <c r="G148" s="18"/>
      <c r="H148" s="2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5:19" ht="15.75" customHeight="1">
      <c r="E149" s="18"/>
      <c r="F149" s="18"/>
      <c r="G149" s="18"/>
      <c r="H149" s="2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5:19" ht="15.75" customHeight="1">
      <c r="E150" s="18"/>
      <c r="F150" s="18"/>
      <c r="G150" s="18"/>
      <c r="H150" s="2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5:19" ht="15.75" customHeight="1">
      <c r="E151" s="18"/>
      <c r="F151" s="18"/>
      <c r="G151" s="18"/>
      <c r="H151" s="2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5:19" ht="15.75" customHeight="1">
      <c r="E152" s="18"/>
      <c r="F152" s="18"/>
      <c r="G152" s="18"/>
      <c r="H152" s="2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5:19" ht="15.75" customHeight="1">
      <c r="E153" s="18"/>
      <c r="F153" s="18"/>
      <c r="G153" s="18"/>
      <c r="H153" s="2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5:19" ht="15.75" customHeight="1">
      <c r="E154" s="18"/>
      <c r="F154" s="18"/>
      <c r="G154" s="18"/>
      <c r="H154" s="2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5:19" ht="15.75" customHeight="1">
      <c r="E155" s="18"/>
      <c r="F155" s="18"/>
      <c r="G155" s="18"/>
      <c r="H155" s="2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5:19" ht="15.75" customHeight="1">
      <c r="E156" s="18"/>
      <c r="F156" s="18"/>
      <c r="G156" s="18"/>
      <c r="H156" s="2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5:19" ht="15.75" customHeight="1">
      <c r="E157" s="18"/>
      <c r="F157" s="18"/>
      <c r="G157" s="18"/>
      <c r="H157" s="2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5:19" ht="15.75" customHeight="1">
      <c r="E158" s="18"/>
      <c r="F158" s="18"/>
      <c r="G158" s="18"/>
      <c r="H158" s="2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5:19" ht="15.75" customHeight="1">
      <c r="E159" s="18"/>
      <c r="F159" s="18"/>
      <c r="G159" s="18"/>
      <c r="H159" s="2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5:19" ht="15.75" customHeight="1">
      <c r="E160" s="18"/>
      <c r="F160" s="18"/>
      <c r="G160" s="18"/>
      <c r="H160" s="2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5:19" ht="15.75" customHeight="1">
      <c r="E161" s="18"/>
      <c r="F161" s="18"/>
      <c r="G161" s="18"/>
      <c r="H161" s="2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5:19" ht="15.75" customHeight="1">
      <c r="E162" s="18"/>
      <c r="F162" s="18"/>
      <c r="G162" s="18"/>
      <c r="H162" s="2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5:19" ht="15.75" customHeight="1">
      <c r="E163" s="18"/>
      <c r="F163" s="18"/>
      <c r="G163" s="18"/>
      <c r="H163" s="2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5:19" ht="15.75" customHeight="1">
      <c r="E164" s="18"/>
      <c r="F164" s="18"/>
      <c r="G164" s="18"/>
      <c r="H164" s="2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5:19" ht="15.75" customHeight="1">
      <c r="E165" s="18"/>
      <c r="F165" s="18"/>
      <c r="G165" s="18"/>
      <c r="H165" s="2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5:19" ht="15.75" customHeight="1">
      <c r="E166" s="18"/>
      <c r="F166" s="18"/>
      <c r="G166" s="18"/>
      <c r="H166" s="2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5:19" ht="15.75" customHeight="1">
      <c r="E167" s="18"/>
      <c r="F167" s="18"/>
      <c r="G167" s="18"/>
      <c r="H167" s="2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5:19" ht="15.75" customHeight="1">
      <c r="E168" s="18"/>
      <c r="F168" s="18"/>
      <c r="G168" s="18"/>
      <c r="H168" s="2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5:19" ht="15.75" customHeight="1">
      <c r="E169" s="18"/>
      <c r="F169" s="18"/>
      <c r="G169" s="18"/>
      <c r="H169" s="2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5:19" ht="15.75" customHeight="1">
      <c r="E170" s="18"/>
      <c r="F170" s="18"/>
      <c r="G170" s="18"/>
      <c r="H170" s="2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5:19" ht="15.75" customHeight="1">
      <c r="E171" s="18"/>
      <c r="F171" s="18"/>
      <c r="G171" s="18"/>
      <c r="H171" s="2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5:19" ht="15.75" customHeight="1">
      <c r="E172" s="18"/>
      <c r="F172" s="18"/>
      <c r="G172" s="18"/>
      <c r="H172" s="2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5:19" ht="15.75" customHeight="1">
      <c r="E173" s="18"/>
      <c r="F173" s="18"/>
      <c r="G173" s="18"/>
      <c r="H173" s="2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5:19" ht="15.75" customHeight="1">
      <c r="E174" s="18"/>
      <c r="F174" s="18"/>
      <c r="G174" s="18"/>
      <c r="H174" s="2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5:19" ht="15.75" customHeight="1">
      <c r="E175" s="18"/>
      <c r="F175" s="18"/>
      <c r="G175" s="18"/>
      <c r="H175" s="2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5:19" ht="15.75" customHeight="1">
      <c r="E176" s="18"/>
      <c r="F176" s="18"/>
      <c r="G176" s="18"/>
      <c r="H176" s="2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5:19" ht="15.75" customHeight="1">
      <c r="E177" s="18"/>
      <c r="F177" s="18"/>
      <c r="G177" s="18"/>
      <c r="H177" s="2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5:19" ht="15.75" customHeight="1">
      <c r="E178" s="18"/>
      <c r="F178" s="18"/>
      <c r="G178" s="18"/>
      <c r="H178" s="2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5:19" ht="15.75" customHeight="1">
      <c r="E179" s="18"/>
      <c r="F179" s="18"/>
      <c r="G179" s="18"/>
      <c r="H179" s="2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5:19" ht="15.75" customHeight="1">
      <c r="E180" s="18"/>
      <c r="F180" s="18"/>
      <c r="G180" s="18"/>
      <c r="H180" s="2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5:19" ht="15.75" customHeight="1">
      <c r="E181" s="18"/>
      <c r="F181" s="18"/>
      <c r="G181" s="18"/>
      <c r="H181" s="2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5:19" ht="15.75" customHeight="1">
      <c r="E182" s="18"/>
      <c r="F182" s="18"/>
      <c r="G182" s="18"/>
      <c r="H182" s="2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5:19" ht="15.75" customHeight="1">
      <c r="E183" s="18"/>
      <c r="F183" s="18"/>
      <c r="G183" s="18"/>
      <c r="H183" s="2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5:19" ht="15.75" customHeight="1">
      <c r="E184" s="18"/>
      <c r="F184" s="18"/>
      <c r="G184" s="18"/>
      <c r="H184" s="2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5:19" ht="15.75" customHeight="1">
      <c r="E185" s="18"/>
      <c r="F185" s="18"/>
      <c r="G185" s="18"/>
      <c r="H185" s="2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5:19" ht="15.75" customHeight="1">
      <c r="E186" s="18"/>
      <c r="F186" s="18"/>
      <c r="G186" s="18"/>
      <c r="H186" s="2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5:19" ht="15.75" customHeight="1">
      <c r="E187" s="18"/>
      <c r="F187" s="18"/>
      <c r="G187" s="18"/>
      <c r="H187" s="2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5:19" ht="15.75" customHeight="1">
      <c r="E188" s="18"/>
      <c r="F188" s="18"/>
      <c r="G188" s="18"/>
      <c r="H188" s="2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5:19" ht="15.75" customHeight="1">
      <c r="E189" s="18"/>
      <c r="F189" s="18"/>
      <c r="G189" s="18"/>
      <c r="H189" s="2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ht="15.75" customHeight="1">
      <c r="E190" s="18"/>
      <c r="F190" s="18"/>
      <c r="G190" s="18"/>
      <c r="H190" s="2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5:19" ht="15.75" customHeight="1">
      <c r="E191" s="18"/>
      <c r="F191" s="18"/>
      <c r="G191" s="18"/>
      <c r="H191" s="2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5:19" ht="15.75" customHeight="1">
      <c r="E192" s="18"/>
      <c r="F192" s="18"/>
      <c r="G192" s="18"/>
      <c r="H192" s="2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5:19" ht="15.75" customHeight="1">
      <c r="E193" s="18"/>
      <c r="F193" s="18"/>
      <c r="G193" s="18"/>
      <c r="H193" s="2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5:19" ht="15.75" customHeight="1">
      <c r="E194" s="18"/>
      <c r="F194" s="18"/>
      <c r="G194" s="18"/>
      <c r="H194" s="2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5:19" ht="15.75" customHeight="1">
      <c r="E195" s="18"/>
      <c r="F195" s="18"/>
      <c r="G195" s="18"/>
      <c r="H195" s="2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5:19" ht="15.75" customHeight="1">
      <c r="E196" s="18"/>
      <c r="F196" s="18"/>
      <c r="G196" s="18"/>
      <c r="H196" s="2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5:19" ht="15.75" customHeight="1">
      <c r="E197" s="18"/>
      <c r="F197" s="18"/>
      <c r="G197" s="18"/>
      <c r="H197" s="2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5:19" ht="15.75" customHeight="1">
      <c r="E198" s="18"/>
      <c r="F198" s="18"/>
      <c r="G198" s="18"/>
      <c r="H198" s="2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5:19" ht="15.75" customHeight="1">
      <c r="E199" s="18"/>
      <c r="F199" s="18"/>
      <c r="G199" s="18"/>
      <c r="H199" s="2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5:19" ht="15.75" customHeight="1">
      <c r="E200" s="18"/>
      <c r="F200" s="18"/>
      <c r="G200" s="18"/>
      <c r="H200" s="2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5:19" ht="15.75" customHeight="1">
      <c r="E201" s="18"/>
      <c r="F201" s="18"/>
      <c r="G201" s="18"/>
      <c r="H201" s="2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5:19" ht="15.75" customHeight="1">
      <c r="E202" s="18"/>
      <c r="F202" s="18"/>
      <c r="G202" s="18"/>
      <c r="H202" s="2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5:19" ht="15.75" customHeight="1">
      <c r="E203" s="18"/>
      <c r="F203" s="18"/>
      <c r="G203" s="18"/>
      <c r="H203" s="2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5:19" ht="15.75" customHeight="1">
      <c r="E204" s="18"/>
      <c r="F204" s="18"/>
      <c r="G204" s="18"/>
      <c r="H204" s="2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5:19" ht="15.75" customHeight="1">
      <c r="E205" s="18"/>
      <c r="F205" s="18"/>
      <c r="G205" s="18"/>
      <c r="H205" s="2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5:19" ht="15.75" customHeight="1">
      <c r="E206" s="18"/>
      <c r="F206" s="18"/>
      <c r="G206" s="18"/>
      <c r="H206" s="2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5:19" ht="15.75" customHeight="1">
      <c r="E207" s="18"/>
      <c r="F207" s="18"/>
      <c r="G207" s="18"/>
      <c r="H207" s="2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5:19" ht="15.75" customHeight="1">
      <c r="E208" s="18"/>
      <c r="F208" s="18"/>
      <c r="G208" s="18"/>
      <c r="H208" s="2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5:19" ht="15.75" customHeight="1">
      <c r="E209" s="18"/>
      <c r="F209" s="18"/>
      <c r="G209" s="18"/>
      <c r="H209" s="2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5:19" ht="15.75" customHeight="1">
      <c r="E210" s="18"/>
      <c r="F210" s="18"/>
      <c r="G210" s="18"/>
      <c r="H210" s="2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5:19" ht="15.75" customHeight="1">
      <c r="E211" s="18"/>
      <c r="F211" s="18"/>
      <c r="G211" s="18"/>
      <c r="H211" s="2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5:19" ht="15.75" customHeight="1">
      <c r="E212" s="18"/>
      <c r="F212" s="18"/>
      <c r="G212" s="18"/>
      <c r="H212" s="2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5:19" ht="15.75" customHeight="1">
      <c r="E213" s="18"/>
      <c r="F213" s="18"/>
      <c r="G213" s="18"/>
      <c r="H213" s="2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5:19" ht="15.75" customHeight="1">
      <c r="E214" s="18"/>
      <c r="F214" s="18"/>
      <c r="G214" s="18"/>
      <c r="H214" s="2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5:19" ht="15.75" customHeight="1">
      <c r="E215" s="18"/>
      <c r="F215" s="18"/>
      <c r="G215" s="18"/>
      <c r="H215" s="2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5:19" ht="15.75" customHeight="1">
      <c r="E216" s="18"/>
      <c r="F216" s="18"/>
      <c r="G216" s="18"/>
      <c r="H216" s="2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5:19" ht="15.75" customHeight="1">
      <c r="E217" s="18"/>
      <c r="F217" s="18"/>
      <c r="G217" s="18"/>
      <c r="H217" s="2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5:19" ht="15.75" customHeight="1">
      <c r="E218" s="18"/>
      <c r="F218" s="18"/>
      <c r="G218" s="18"/>
      <c r="H218" s="2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5:19" ht="15.75" customHeight="1">
      <c r="E219" s="18"/>
      <c r="F219" s="18"/>
      <c r="G219" s="18"/>
      <c r="H219" s="2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5:19" ht="15.75" customHeight="1">
      <c r="E220" s="18"/>
      <c r="F220" s="18"/>
      <c r="G220" s="18"/>
      <c r="H220" s="2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5:19" ht="15.75" customHeight="1">
      <c r="E221" s="18"/>
      <c r="F221" s="18"/>
      <c r="G221" s="18"/>
      <c r="H221" s="2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5:19" ht="15.75" customHeight="1">
      <c r="E222" s="18"/>
      <c r="F222" s="18"/>
      <c r="G222" s="18"/>
      <c r="H222" s="2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5:19" ht="15.75" customHeight="1">
      <c r="E223" s="18"/>
      <c r="F223" s="18"/>
      <c r="G223" s="18"/>
      <c r="H223" s="2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5:19" ht="15.75" customHeight="1">
      <c r="E224" s="18"/>
      <c r="F224" s="18"/>
      <c r="G224" s="18"/>
      <c r="H224" s="2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5:19" ht="15.75" customHeight="1">
      <c r="E225" s="18"/>
      <c r="F225" s="18"/>
      <c r="G225" s="18"/>
      <c r="H225" s="2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5:19" ht="15.75" customHeight="1">
      <c r="E226" s="18"/>
      <c r="F226" s="18"/>
      <c r="G226" s="18"/>
      <c r="H226" s="2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5:19" ht="15.75" customHeight="1">
      <c r="E227" s="18"/>
      <c r="F227" s="18"/>
      <c r="G227" s="18"/>
      <c r="H227" s="2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5:19" ht="15.75" customHeight="1">
      <c r="E228" s="18"/>
      <c r="F228" s="18"/>
      <c r="G228" s="18"/>
      <c r="H228" s="2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5:19" ht="15.75" customHeight="1">
      <c r="E229" s="18"/>
      <c r="F229" s="18"/>
      <c r="G229" s="18"/>
      <c r="H229" s="2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5:19" ht="15.75" customHeight="1">
      <c r="E230" s="18"/>
      <c r="F230" s="18"/>
      <c r="G230" s="18"/>
      <c r="H230" s="2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5:19" ht="15.75" customHeight="1">
      <c r="E231" s="18"/>
      <c r="F231" s="18"/>
      <c r="G231" s="18"/>
      <c r="H231" s="2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5:19" ht="15.75" customHeight="1">
      <c r="E232" s="18"/>
      <c r="F232" s="18"/>
      <c r="G232" s="18"/>
      <c r="H232" s="2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5:19" ht="15.75" customHeight="1">
      <c r="E233" s="18"/>
      <c r="F233" s="18"/>
      <c r="G233" s="18"/>
      <c r="H233" s="2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5:19" ht="15.75" customHeight="1">
      <c r="E234" s="18"/>
      <c r="F234" s="18"/>
      <c r="G234" s="18"/>
      <c r="H234" s="2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5:19" ht="15.75" customHeight="1">
      <c r="E235" s="18"/>
      <c r="F235" s="18"/>
      <c r="G235" s="18"/>
      <c r="H235" s="2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5:19" ht="15.75" customHeight="1">
      <c r="E236" s="18"/>
      <c r="F236" s="18"/>
      <c r="G236" s="18"/>
      <c r="H236" s="2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5:19" ht="15.75" customHeight="1">
      <c r="E237" s="18"/>
      <c r="F237" s="18"/>
      <c r="G237" s="18"/>
      <c r="H237" s="2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5:19" ht="15.75" customHeight="1">
      <c r="E238" s="18"/>
      <c r="F238" s="18"/>
      <c r="G238" s="18"/>
      <c r="H238" s="2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5:19" ht="15.75" customHeight="1">
      <c r="E239" s="18"/>
      <c r="F239" s="18"/>
      <c r="G239" s="18"/>
      <c r="H239" s="2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5:19" ht="15.75" customHeight="1">
      <c r="E240" s="18"/>
      <c r="F240" s="18"/>
      <c r="G240" s="18"/>
      <c r="H240" s="2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5:19" ht="15.75" customHeight="1">
      <c r="E241" s="18"/>
      <c r="F241" s="18"/>
      <c r="G241" s="18"/>
      <c r="H241" s="2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5:19" ht="15.75" customHeight="1">
      <c r="E242" s="18"/>
      <c r="F242" s="18"/>
      <c r="G242" s="18"/>
      <c r="H242" s="2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5:19" ht="15.75" customHeight="1">
      <c r="E243" s="18"/>
      <c r="F243" s="18"/>
      <c r="G243" s="18"/>
      <c r="H243" s="2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5:19" ht="15.75" customHeight="1">
      <c r="E244" s="18"/>
      <c r="F244" s="18"/>
      <c r="G244" s="18"/>
      <c r="H244" s="2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5:19" ht="15.75" customHeight="1">
      <c r="E245" s="18"/>
      <c r="F245" s="18"/>
      <c r="G245" s="18"/>
      <c r="H245" s="2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5:19" ht="15.75" customHeight="1">
      <c r="E246" s="18"/>
      <c r="F246" s="18"/>
      <c r="G246" s="18"/>
      <c r="H246" s="2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5:19" ht="15.75" customHeight="1">
      <c r="E247" s="18"/>
      <c r="F247" s="18"/>
      <c r="G247" s="18"/>
      <c r="H247" s="2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5:19" ht="15.75" customHeight="1">
      <c r="E248" s="18"/>
      <c r="F248" s="18"/>
      <c r="G248" s="18"/>
      <c r="H248" s="2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5:19" ht="15.75" customHeight="1">
      <c r="E249" s="18"/>
      <c r="F249" s="18"/>
      <c r="G249" s="18"/>
      <c r="H249" s="2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5:19" ht="15.75" customHeight="1">
      <c r="E250" s="18"/>
      <c r="F250" s="18"/>
      <c r="G250" s="18"/>
      <c r="H250" s="2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5:19" ht="15.75" customHeight="1">
      <c r="E251" s="18"/>
      <c r="F251" s="18"/>
      <c r="G251" s="18"/>
      <c r="H251" s="2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5:19" ht="15.75" customHeight="1">
      <c r="E252" s="18"/>
      <c r="F252" s="18"/>
      <c r="G252" s="18"/>
      <c r="H252" s="2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5:19" ht="15.75" customHeight="1">
      <c r="E253" s="18"/>
      <c r="F253" s="18"/>
      <c r="G253" s="18"/>
      <c r="H253" s="2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5:19" ht="15.75" customHeight="1">
      <c r="E254" s="18"/>
      <c r="F254" s="18"/>
      <c r="G254" s="18"/>
      <c r="H254" s="2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5:19" ht="15.75" customHeight="1">
      <c r="E255" s="18"/>
      <c r="F255" s="18"/>
      <c r="G255" s="18"/>
      <c r="H255" s="2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5:19" ht="15.75" customHeight="1">
      <c r="E256" s="18"/>
      <c r="F256" s="18"/>
      <c r="G256" s="18"/>
      <c r="H256" s="2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5:19" ht="15.75" customHeight="1">
      <c r="E257" s="18"/>
      <c r="F257" s="18"/>
      <c r="G257" s="18"/>
      <c r="H257" s="2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5:19" ht="15.75" customHeight="1">
      <c r="E258" s="18"/>
      <c r="F258" s="18"/>
      <c r="G258" s="18"/>
      <c r="H258" s="2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5:19" ht="15.75" customHeight="1">
      <c r="E259" s="18"/>
      <c r="F259" s="18"/>
      <c r="G259" s="18"/>
      <c r="H259" s="2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5:19" ht="15.75" customHeight="1">
      <c r="E260" s="18"/>
      <c r="F260" s="18"/>
      <c r="G260" s="18"/>
      <c r="H260" s="2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5:19" ht="15.75" customHeight="1">
      <c r="E261" s="18"/>
      <c r="F261" s="18"/>
      <c r="G261" s="18"/>
      <c r="H261" s="2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5:19" ht="15.75" customHeight="1">
      <c r="E262" s="18"/>
      <c r="F262" s="18"/>
      <c r="G262" s="18"/>
      <c r="H262" s="2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5:19" ht="15.75" customHeight="1">
      <c r="E263" s="18"/>
      <c r="F263" s="18"/>
      <c r="G263" s="18"/>
      <c r="H263" s="2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5:19" ht="15.75" customHeight="1">
      <c r="E264" s="18"/>
      <c r="F264" s="18"/>
      <c r="G264" s="18"/>
      <c r="H264" s="2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5:19" ht="15.75" customHeight="1">
      <c r="E265" s="18"/>
      <c r="F265" s="18"/>
      <c r="G265" s="18"/>
      <c r="H265" s="2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5:19" ht="15.75" customHeight="1">
      <c r="E266" s="18"/>
      <c r="F266" s="18"/>
      <c r="G266" s="18"/>
      <c r="H266" s="2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5:19" ht="15.75" customHeight="1">
      <c r="E267" s="18"/>
      <c r="F267" s="18"/>
      <c r="G267" s="18"/>
      <c r="H267" s="2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5:19" ht="15.75" customHeight="1">
      <c r="E268" s="18"/>
      <c r="F268" s="18"/>
      <c r="G268" s="18"/>
      <c r="H268" s="2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5:19" ht="15.75" customHeight="1">
      <c r="E269" s="18"/>
      <c r="F269" s="18"/>
      <c r="G269" s="18"/>
      <c r="H269" s="2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5:19" ht="15.75" customHeight="1">
      <c r="E270" s="18"/>
      <c r="F270" s="18"/>
      <c r="G270" s="18"/>
      <c r="H270" s="2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5:19" ht="15.75" customHeight="1">
      <c r="E271" s="18"/>
      <c r="F271" s="18"/>
      <c r="G271" s="18"/>
      <c r="H271" s="2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5:19" ht="15.75" customHeight="1">
      <c r="E272" s="18"/>
      <c r="F272" s="18"/>
      <c r="G272" s="18"/>
      <c r="H272" s="2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5:19" ht="15.75" customHeight="1">
      <c r="E273" s="18"/>
      <c r="F273" s="18"/>
      <c r="G273" s="18"/>
      <c r="H273" s="2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5:19" ht="15.75" customHeight="1">
      <c r="E274" s="18"/>
      <c r="F274" s="18"/>
      <c r="G274" s="18"/>
      <c r="H274" s="2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5:19" ht="15.75" customHeight="1">
      <c r="E275" s="18"/>
      <c r="F275" s="18"/>
      <c r="G275" s="18"/>
      <c r="H275" s="2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5:19" ht="15.75" customHeight="1">
      <c r="E276" s="18"/>
      <c r="F276" s="18"/>
      <c r="G276" s="18"/>
      <c r="H276" s="2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5:19" ht="15.75" customHeight="1">
      <c r="E277" s="18"/>
      <c r="F277" s="18"/>
      <c r="G277" s="18"/>
      <c r="H277" s="2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5:19" ht="15.75" customHeight="1">
      <c r="E278" s="18"/>
      <c r="F278" s="18"/>
      <c r="G278" s="18"/>
      <c r="H278" s="2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5:19" ht="15.75" customHeight="1">
      <c r="E279" s="18"/>
      <c r="F279" s="18"/>
      <c r="G279" s="18"/>
      <c r="H279" s="2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5:19" ht="15.75" customHeight="1">
      <c r="E280" s="18"/>
      <c r="F280" s="18"/>
      <c r="G280" s="18"/>
      <c r="H280" s="2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5:19" ht="15.75" customHeight="1">
      <c r="E281" s="18"/>
      <c r="F281" s="18"/>
      <c r="G281" s="18"/>
      <c r="H281" s="2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5:19" ht="15.75" customHeight="1">
      <c r="E282" s="18"/>
      <c r="F282" s="18"/>
      <c r="G282" s="18"/>
      <c r="H282" s="2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5:19" ht="15.75" customHeight="1">
      <c r="E283" s="18"/>
      <c r="F283" s="18"/>
      <c r="G283" s="18"/>
      <c r="H283" s="2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5:19" ht="15.75" customHeight="1">
      <c r="E284" s="18"/>
      <c r="F284" s="18"/>
      <c r="G284" s="18"/>
      <c r="H284" s="2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5:19" ht="15.75" customHeight="1">
      <c r="E285" s="18"/>
      <c r="F285" s="18"/>
      <c r="G285" s="18"/>
      <c r="H285" s="2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5:19" ht="15.75" customHeight="1">
      <c r="E286" s="18"/>
      <c r="F286" s="18"/>
      <c r="G286" s="18"/>
      <c r="H286" s="2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5:19">
      <c r="E287" s="18"/>
      <c r="F287" s="18"/>
      <c r="G287" s="18"/>
      <c r="H287" s="2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5:19">
      <c r="E288" s="18"/>
      <c r="F288" s="18"/>
      <c r="G288" s="18"/>
      <c r="H288" s="2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5:19">
      <c r="E289" s="18"/>
      <c r="F289" s="18"/>
      <c r="G289" s="18"/>
      <c r="H289" s="2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5:19">
      <c r="E290" s="18"/>
      <c r="F290" s="18"/>
      <c r="G290" s="18"/>
      <c r="H290" s="2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5:19">
      <c r="E291" s="18"/>
      <c r="F291" s="18"/>
      <c r="G291" s="18"/>
      <c r="H291" s="2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5:19">
      <c r="E292" s="18"/>
      <c r="F292" s="18"/>
      <c r="G292" s="18"/>
      <c r="H292" s="2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5:19">
      <c r="E293" s="18"/>
      <c r="F293" s="18"/>
      <c r="G293" s="18"/>
      <c r="H293" s="2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5:19">
      <c r="E294" s="18"/>
      <c r="F294" s="18"/>
      <c r="G294" s="18"/>
      <c r="H294" s="2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5:19">
      <c r="E295" s="18"/>
      <c r="F295" s="18"/>
      <c r="G295" s="18"/>
      <c r="H295" s="2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5:19">
      <c r="E296" s="18"/>
      <c r="F296" s="18"/>
      <c r="G296" s="18"/>
      <c r="H296" s="2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5:19">
      <c r="E297" s="18"/>
      <c r="F297" s="18"/>
      <c r="G297" s="18"/>
      <c r="H297" s="2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5:19">
      <c r="E298" s="18"/>
      <c r="F298" s="18"/>
      <c r="G298" s="18"/>
      <c r="H298" s="2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5:19">
      <c r="E299" s="18"/>
      <c r="F299" s="18"/>
      <c r="G299" s="18"/>
      <c r="H299" s="2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5:19">
      <c r="E300" s="18"/>
      <c r="F300" s="18"/>
      <c r="G300" s="18"/>
      <c r="H300" s="2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5:19">
      <c r="E301" s="18"/>
      <c r="F301" s="18"/>
      <c r="G301" s="18"/>
      <c r="H301" s="2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5:19">
      <c r="E302" s="18"/>
      <c r="F302" s="18"/>
      <c r="G302" s="18"/>
      <c r="H302" s="2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5:19">
      <c r="E303" s="18"/>
      <c r="F303" s="18"/>
      <c r="G303" s="18"/>
      <c r="H303" s="2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5:19">
      <c r="E304" s="18"/>
      <c r="F304" s="18"/>
      <c r="G304" s="18"/>
      <c r="H304" s="2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5:19">
      <c r="E305" s="18"/>
      <c r="F305" s="18"/>
      <c r="G305" s="18"/>
      <c r="H305" s="2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5:19">
      <c r="E306" s="18"/>
      <c r="F306" s="18"/>
      <c r="G306" s="18"/>
      <c r="H306" s="2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5:19">
      <c r="E307" s="18"/>
      <c r="F307" s="18"/>
      <c r="G307" s="18"/>
      <c r="H307" s="2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5:19">
      <c r="E308" s="18"/>
      <c r="F308" s="18"/>
      <c r="G308" s="18"/>
      <c r="H308" s="2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5:19">
      <c r="E309" s="18"/>
      <c r="F309" s="18"/>
      <c r="G309" s="18"/>
      <c r="H309" s="2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5:19">
      <c r="E310" s="18"/>
      <c r="F310" s="18"/>
      <c r="G310" s="18"/>
      <c r="H310" s="2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5:19">
      <c r="E311" s="18"/>
      <c r="F311" s="18"/>
      <c r="G311" s="18"/>
      <c r="H311" s="2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5:19">
      <c r="E312" s="18"/>
      <c r="F312" s="18"/>
      <c r="G312" s="18"/>
      <c r="H312" s="2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5:19">
      <c r="E313" s="18"/>
      <c r="F313" s="18"/>
      <c r="G313" s="18"/>
      <c r="H313" s="2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5:19">
      <c r="E314" s="18"/>
      <c r="F314" s="18"/>
      <c r="G314" s="18"/>
      <c r="H314" s="2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5:19">
      <c r="E315" s="18"/>
      <c r="F315" s="18"/>
      <c r="G315" s="18"/>
      <c r="H315" s="2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5:19">
      <c r="E316" s="18"/>
      <c r="F316" s="18"/>
      <c r="G316" s="18"/>
      <c r="H316" s="2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5:19">
      <c r="E317" s="18"/>
      <c r="F317" s="18"/>
      <c r="G317" s="18"/>
      <c r="H317" s="2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5:19">
      <c r="E318" s="18"/>
      <c r="F318" s="18"/>
      <c r="G318" s="18"/>
      <c r="H318" s="2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5:19">
      <c r="E319" s="18"/>
      <c r="F319" s="18"/>
      <c r="G319" s="18"/>
      <c r="H319" s="2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>
      <c r="E320" s="18"/>
      <c r="F320" s="18"/>
      <c r="G320" s="18"/>
      <c r="H320" s="2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5:19">
      <c r="E321" s="18"/>
      <c r="F321" s="18"/>
      <c r="G321" s="18"/>
      <c r="H321" s="2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5:19">
      <c r="E322" s="18"/>
      <c r="F322" s="18"/>
      <c r="G322" s="18"/>
      <c r="H322" s="2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5:19">
      <c r="E323" s="18"/>
      <c r="F323" s="18"/>
      <c r="G323" s="18"/>
      <c r="H323" s="2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5:19">
      <c r="E324" s="18"/>
      <c r="F324" s="18"/>
      <c r="G324" s="18"/>
      <c r="H324" s="2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5:19">
      <c r="E325" s="18"/>
      <c r="F325" s="18"/>
      <c r="G325" s="18"/>
      <c r="H325" s="2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5:19">
      <c r="E326" s="18"/>
      <c r="F326" s="18"/>
      <c r="G326" s="18"/>
      <c r="H326" s="2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5:19">
      <c r="E327" s="18"/>
      <c r="F327" s="18"/>
      <c r="G327" s="18"/>
      <c r="H327" s="2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5:19">
      <c r="E328" s="18"/>
      <c r="F328" s="18"/>
      <c r="G328" s="18"/>
      <c r="H328" s="2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5:19">
      <c r="E329" s="18"/>
      <c r="F329" s="18"/>
      <c r="G329" s="18"/>
      <c r="H329" s="2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5:19">
      <c r="E330" s="18"/>
      <c r="F330" s="18"/>
      <c r="G330" s="18"/>
      <c r="H330" s="2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5:19">
      <c r="E331" s="18"/>
      <c r="F331" s="18"/>
      <c r="G331" s="18"/>
      <c r="H331" s="2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5:19">
      <c r="E332" s="18"/>
      <c r="F332" s="18"/>
      <c r="G332" s="18"/>
      <c r="H332" s="2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5:19">
      <c r="E333" s="18"/>
      <c r="F333" s="18"/>
      <c r="G333" s="18"/>
      <c r="H333" s="2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5:19">
      <c r="E334" s="18"/>
      <c r="F334" s="18"/>
      <c r="G334" s="18"/>
      <c r="H334" s="2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5:19">
      <c r="E335" s="18"/>
      <c r="F335" s="18"/>
      <c r="G335" s="18"/>
      <c r="H335" s="2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5:19">
      <c r="E336" s="18"/>
      <c r="F336" s="18"/>
      <c r="G336" s="18"/>
      <c r="H336" s="2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5:19">
      <c r="E337" s="18"/>
      <c r="F337" s="18"/>
      <c r="G337" s="18"/>
      <c r="H337" s="2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5:19">
      <c r="E338" s="18"/>
      <c r="F338" s="18"/>
      <c r="G338" s="18"/>
      <c r="H338" s="2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5:19">
      <c r="E339" s="18"/>
      <c r="F339" s="18"/>
      <c r="G339" s="18"/>
      <c r="H339" s="2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5:19">
      <c r="E340" s="18"/>
      <c r="F340" s="18"/>
      <c r="G340" s="18"/>
      <c r="H340" s="2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5:19">
      <c r="E341" s="18"/>
      <c r="F341" s="18"/>
      <c r="G341" s="18"/>
      <c r="H341" s="2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5:19">
      <c r="E342" s="18"/>
      <c r="F342" s="18"/>
      <c r="G342" s="18"/>
      <c r="H342" s="2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5:19">
      <c r="E343" s="18"/>
      <c r="F343" s="18"/>
      <c r="G343" s="18"/>
      <c r="H343" s="2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5:19">
      <c r="E344" s="18"/>
      <c r="F344" s="18"/>
      <c r="G344" s="18"/>
      <c r="H344" s="2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5:19">
      <c r="E345" s="18"/>
      <c r="F345" s="18"/>
      <c r="G345" s="18"/>
      <c r="H345" s="2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5:19">
      <c r="E346" s="18"/>
      <c r="F346" s="18"/>
      <c r="G346" s="18"/>
      <c r="H346" s="2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5:19">
      <c r="E347" s="18"/>
      <c r="F347" s="18"/>
      <c r="G347" s="18"/>
      <c r="H347" s="2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5:19">
      <c r="E348" s="18"/>
      <c r="F348" s="18"/>
      <c r="G348" s="18"/>
      <c r="H348" s="2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5:19">
      <c r="E349" s="18"/>
      <c r="F349" s="18"/>
      <c r="G349" s="18"/>
      <c r="H349" s="2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5:19">
      <c r="E350" s="18"/>
      <c r="F350" s="18"/>
      <c r="G350" s="18"/>
      <c r="H350" s="2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5:19">
      <c r="E351" s="18"/>
      <c r="F351" s="18"/>
      <c r="G351" s="18"/>
      <c r="H351" s="2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5:19">
      <c r="E352" s="18"/>
      <c r="F352" s="18"/>
      <c r="G352" s="18"/>
      <c r="H352" s="2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5:19">
      <c r="E353" s="18"/>
      <c r="F353" s="18"/>
      <c r="G353" s="18"/>
      <c r="H353" s="2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5:19">
      <c r="E354" s="18"/>
      <c r="F354" s="18"/>
      <c r="G354" s="18"/>
      <c r="H354" s="2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5:19">
      <c r="E355" s="18"/>
      <c r="F355" s="18"/>
      <c r="G355" s="18"/>
      <c r="H355" s="2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5:19">
      <c r="E356" s="18"/>
      <c r="F356" s="18"/>
      <c r="G356" s="18"/>
      <c r="H356" s="2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5:19">
      <c r="E357" s="18"/>
      <c r="F357" s="18"/>
      <c r="G357" s="18"/>
      <c r="H357" s="2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5:19">
      <c r="E358" s="18"/>
      <c r="F358" s="18"/>
      <c r="G358" s="18"/>
      <c r="H358" s="2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5:19">
      <c r="E359" s="18"/>
      <c r="F359" s="18"/>
      <c r="G359" s="18"/>
      <c r="H359" s="2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5:19">
      <c r="E360" s="18"/>
      <c r="F360" s="18"/>
      <c r="G360" s="18"/>
      <c r="H360" s="2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5:19">
      <c r="E361" s="18"/>
      <c r="F361" s="18"/>
      <c r="G361" s="18"/>
      <c r="H361" s="2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5:19">
      <c r="E362" s="18"/>
      <c r="F362" s="18"/>
      <c r="G362" s="18"/>
      <c r="H362" s="2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5:19">
      <c r="E363" s="18"/>
      <c r="F363" s="18"/>
      <c r="G363" s="18"/>
      <c r="H363" s="2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5:19">
      <c r="E364" s="18"/>
      <c r="F364" s="18"/>
      <c r="G364" s="18"/>
      <c r="H364" s="2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5:19">
      <c r="E365" s="18"/>
      <c r="F365" s="18"/>
      <c r="G365" s="18"/>
      <c r="H365" s="2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5:19">
      <c r="E366" s="18"/>
      <c r="F366" s="18"/>
      <c r="G366" s="18"/>
      <c r="H366" s="2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5:19">
      <c r="E367" s="18"/>
      <c r="F367" s="18"/>
      <c r="G367" s="18"/>
      <c r="H367" s="2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5:19">
      <c r="E368" s="18"/>
      <c r="F368" s="18"/>
      <c r="G368" s="18"/>
      <c r="H368" s="2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5:19">
      <c r="E369" s="18"/>
      <c r="F369" s="18"/>
      <c r="G369" s="18"/>
      <c r="H369" s="2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5:19">
      <c r="E370" s="18"/>
      <c r="F370" s="18"/>
      <c r="G370" s="18"/>
      <c r="H370" s="2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5:19">
      <c r="E371" s="18"/>
      <c r="F371" s="18"/>
      <c r="G371" s="18"/>
      <c r="H371" s="2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5:19">
      <c r="E372" s="18"/>
      <c r="F372" s="18"/>
      <c r="G372" s="18"/>
      <c r="H372" s="2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5:19">
      <c r="E373" s="18"/>
      <c r="F373" s="18"/>
      <c r="G373" s="18"/>
      <c r="H373" s="2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5:19">
      <c r="E374" s="18"/>
      <c r="F374" s="18"/>
      <c r="G374" s="18"/>
      <c r="H374" s="2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5:19">
      <c r="E375" s="18"/>
      <c r="F375" s="18"/>
      <c r="G375" s="18"/>
      <c r="H375" s="2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5:19">
      <c r="E376" s="18"/>
      <c r="F376" s="18"/>
      <c r="G376" s="18"/>
      <c r="H376" s="2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5:19">
      <c r="E377" s="18"/>
      <c r="F377" s="18"/>
      <c r="G377" s="18"/>
      <c r="H377" s="2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5:19">
      <c r="E378" s="18"/>
      <c r="F378" s="18"/>
      <c r="G378" s="18"/>
      <c r="H378" s="2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5:19">
      <c r="E379" s="18"/>
      <c r="F379" s="18"/>
      <c r="G379" s="18"/>
      <c r="H379" s="2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5:19">
      <c r="E380" s="18"/>
      <c r="F380" s="18"/>
      <c r="G380" s="18"/>
      <c r="H380" s="2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5:19">
      <c r="E381" s="18"/>
      <c r="F381" s="18"/>
      <c r="G381" s="18"/>
      <c r="H381" s="2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5:19">
      <c r="E382" s="18"/>
      <c r="F382" s="18"/>
      <c r="G382" s="18"/>
      <c r="H382" s="2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5:19">
      <c r="E383" s="18"/>
      <c r="F383" s="18"/>
      <c r="G383" s="18"/>
      <c r="H383" s="2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5:19">
      <c r="E384" s="18"/>
      <c r="F384" s="18"/>
      <c r="G384" s="18"/>
      <c r="H384" s="2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5:19">
      <c r="E385" s="18"/>
      <c r="F385" s="18"/>
      <c r="G385" s="18"/>
      <c r="H385" s="2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5:19">
      <c r="E386" s="18"/>
      <c r="F386" s="18"/>
      <c r="G386" s="18"/>
      <c r="H386" s="2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5:19">
      <c r="E387" s="18"/>
      <c r="F387" s="18"/>
      <c r="G387" s="18"/>
      <c r="H387" s="2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5:19">
      <c r="E388" s="18"/>
      <c r="F388" s="18"/>
      <c r="G388" s="18"/>
      <c r="H388" s="2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5:19">
      <c r="E389" s="18"/>
      <c r="F389" s="18"/>
      <c r="G389" s="18"/>
      <c r="H389" s="2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5:19">
      <c r="E390" s="18"/>
      <c r="F390" s="18"/>
      <c r="G390" s="18"/>
      <c r="H390" s="2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5:19">
      <c r="E391" s="18"/>
      <c r="F391" s="18"/>
      <c r="G391" s="18"/>
      <c r="H391" s="2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5:19">
      <c r="E392" s="18"/>
      <c r="F392" s="18"/>
      <c r="G392" s="18"/>
      <c r="H392" s="2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5:19">
      <c r="E393" s="18"/>
      <c r="F393" s="18"/>
      <c r="G393" s="18"/>
      <c r="H393" s="2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5:19">
      <c r="E394" s="18"/>
      <c r="F394" s="18"/>
      <c r="G394" s="18"/>
      <c r="H394" s="2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5:19">
      <c r="E395" s="18"/>
      <c r="F395" s="18"/>
      <c r="G395" s="18"/>
      <c r="H395" s="2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5:19">
      <c r="E396" s="18"/>
      <c r="F396" s="18"/>
      <c r="G396" s="18"/>
      <c r="H396" s="2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5:19">
      <c r="E397" s="18"/>
      <c r="F397" s="18"/>
      <c r="G397" s="18"/>
      <c r="H397" s="2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5:19">
      <c r="E398" s="18"/>
      <c r="F398" s="18"/>
      <c r="G398" s="18"/>
      <c r="H398" s="2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5:19">
      <c r="E399" s="18"/>
      <c r="F399" s="18"/>
      <c r="G399" s="18"/>
      <c r="H399" s="2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5:19">
      <c r="E400" s="18"/>
      <c r="F400" s="18"/>
      <c r="G400" s="18"/>
      <c r="H400" s="2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5:19">
      <c r="E401" s="18"/>
      <c r="F401" s="18"/>
      <c r="G401" s="18"/>
      <c r="H401" s="2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5:19">
      <c r="E402" s="18"/>
      <c r="F402" s="18"/>
      <c r="G402" s="18"/>
      <c r="H402" s="2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5:19">
      <c r="E403" s="18"/>
      <c r="F403" s="18"/>
      <c r="G403" s="18"/>
      <c r="H403" s="2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5:19">
      <c r="E404" s="18"/>
      <c r="F404" s="18"/>
      <c r="G404" s="18"/>
      <c r="H404" s="2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5:19">
      <c r="E405" s="18"/>
      <c r="F405" s="18"/>
      <c r="G405" s="18"/>
      <c r="H405" s="2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5:19">
      <c r="E406" s="18"/>
      <c r="F406" s="18"/>
      <c r="G406" s="18"/>
      <c r="H406" s="2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5:19">
      <c r="E407" s="18"/>
      <c r="F407" s="18"/>
      <c r="G407" s="18"/>
      <c r="H407" s="2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5:19">
      <c r="E408" s="18"/>
      <c r="F408" s="18"/>
      <c r="G408" s="18"/>
      <c r="H408" s="2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5:19">
      <c r="E409" s="18"/>
      <c r="F409" s="18"/>
      <c r="G409" s="18"/>
      <c r="H409" s="2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5:19">
      <c r="E410" s="18"/>
      <c r="F410" s="18"/>
      <c r="G410" s="18"/>
      <c r="H410" s="2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5:19">
      <c r="E411" s="18"/>
      <c r="F411" s="18"/>
      <c r="G411" s="18"/>
      <c r="H411" s="2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5:19">
      <c r="E412" s="18"/>
      <c r="F412" s="18"/>
      <c r="G412" s="18"/>
      <c r="H412" s="2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5:19">
      <c r="E413" s="18"/>
      <c r="F413" s="18"/>
      <c r="G413" s="18"/>
      <c r="H413" s="2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5:19">
      <c r="E414" s="18"/>
      <c r="F414" s="18"/>
      <c r="G414" s="18"/>
      <c r="H414" s="2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5:19">
      <c r="E415" s="18"/>
      <c r="F415" s="18"/>
      <c r="G415" s="18"/>
      <c r="H415" s="2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5:19">
      <c r="E416" s="18"/>
      <c r="F416" s="18"/>
      <c r="G416" s="18"/>
      <c r="H416" s="2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5:19">
      <c r="E417" s="18"/>
      <c r="F417" s="18"/>
      <c r="G417" s="18"/>
      <c r="H417" s="2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5:19">
      <c r="E418" s="18"/>
      <c r="F418" s="18"/>
      <c r="G418" s="18"/>
      <c r="H418" s="2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5:19">
      <c r="E419" s="18"/>
      <c r="F419" s="18"/>
      <c r="G419" s="18"/>
      <c r="H419" s="2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5:19">
      <c r="E420" s="18"/>
      <c r="F420" s="18"/>
      <c r="G420" s="18"/>
      <c r="H420" s="2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5:19">
      <c r="E421" s="18"/>
      <c r="F421" s="18"/>
      <c r="G421" s="18"/>
      <c r="H421" s="2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5:19">
      <c r="E422" s="18"/>
      <c r="F422" s="18"/>
      <c r="G422" s="18"/>
      <c r="H422" s="2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5:19">
      <c r="E423" s="18"/>
      <c r="F423" s="18"/>
      <c r="G423" s="18"/>
      <c r="H423" s="2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5:19">
      <c r="E424" s="18"/>
      <c r="F424" s="18"/>
      <c r="G424" s="18"/>
      <c r="H424" s="2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5:19">
      <c r="E425" s="18"/>
      <c r="F425" s="18"/>
      <c r="G425" s="18"/>
      <c r="H425" s="2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5:19">
      <c r="E426" s="18"/>
      <c r="F426" s="18"/>
      <c r="G426" s="18"/>
      <c r="H426" s="2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5:19">
      <c r="E427" s="18"/>
      <c r="F427" s="18"/>
      <c r="G427" s="18"/>
      <c r="H427" s="2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5:19">
      <c r="E428" s="18"/>
      <c r="F428" s="18"/>
      <c r="G428" s="18"/>
      <c r="H428" s="2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5:19">
      <c r="E429" s="18"/>
      <c r="F429" s="18"/>
      <c r="G429" s="18"/>
      <c r="H429" s="2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5:19">
      <c r="E430" s="18"/>
      <c r="F430" s="18"/>
      <c r="G430" s="18"/>
      <c r="H430" s="2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5:19">
      <c r="E431" s="18"/>
      <c r="F431" s="18"/>
      <c r="G431" s="18"/>
      <c r="H431" s="2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5:19">
      <c r="E432" s="18"/>
      <c r="F432" s="18"/>
      <c r="G432" s="18"/>
      <c r="H432" s="2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5:19">
      <c r="E433" s="18"/>
      <c r="F433" s="18"/>
      <c r="G433" s="18"/>
      <c r="H433" s="2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5:19">
      <c r="E434" s="18"/>
      <c r="F434" s="18"/>
      <c r="G434" s="18"/>
      <c r="H434" s="2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5:19">
      <c r="E435" s="18"/>
      <c r="F435" s="18"/>
      <c r="G435" s="18"/>
      <c r="H435" s="2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5:19">
      <c r="E436" s="18"/>
      <c r="F436" s="18"/>
      <c r="G436" s="18"/>
      <c r="H436" s="2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5:19">
      <c r="E437" s="18"/>
      <c r="F437" s="18"/>
      <c r="G437" s="18"/>
      <c r="H437" s="2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5:19">
      <c r="E438" s="18"/>
      <c r="F438" s="18"/>
      <c r="G438" s="18"/>
      <c r="H438" s="2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5:19">
      <c r="E439" s="18"/>
      <c r="F439" s="18"/>
      <c r="G439" s="18"/>
      <c r="H439" s="2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5:19">
      <c r="E440" s="18"/>
      <c r="F440" s="18"/>
      <c r="G440" s="18"/>
      <c r="H440" s="2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5:19">
      <c r="E441" s="18"/>
      <c r="F441" s="18"/>
      <c r="G441" s="18"/>
      <c r="H441" s="2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5:19">
      <c r="E442" s="18"/>
      <c r="F442" s="18"/>
      <c r="G442" s="18"/>
      <c r="H442" s="2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5:19">
      <c r="E443" s="18"/>
      <c r="F443" s="18"/>
      <c r="G443" s="18"/>
      <c r="H443" s="2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5:19">
      <c r="E444" s="18"/>
      <c r="F444" s="18"/>
      <c r="G444" s="18"/>
      <c r="H444" s="2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5:19">
      <c r="E445" s="18"/>
      <c r="F445" s="18"/>
      <c r="G445" s="18"/>
      <c r="H445" s="2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5:19">
      <c r="E446" s="18"/>
      <c r="F446" s="18"/>
      <c r="G446" s="18"/>
      <c r="H446" s="2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5:19">
      <c r="E447" s="18"/>
      <c r="F447" s="18"/>
      <c r="G447" s="18"/>
      <c r="H447" s="2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5:19">
      <c r="E448" s="18"/>
      <c r="F448" s="18"/>
      <c r="G448" s="18"/>
      <c r="H448" s="2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5:19">
      <c r="E449" s="18"/>
      <c r="F449" s="18"/>
      <c r="G449" s="18"/>
      <c r="H449" s="2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5:19">
      <c r="E450" s="18"/>
      <c r="F450" s="18"/>
      <c r="G450" s="18"/>
      <c r="H450" s="2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5:19">
      <c r="E451" s="18"/>
      <c r="F451" s="18"/>
      <c r="G451" s="18"/>
      <c r="H451" s="2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5:19">
      <c r="E452" s="18"/>
      <c r="F452" s="18"/>
      <c r="G452" s="18"/>
      <c r="H452" s="2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5:19">
      <c r="E453" s="18"/>
      <c r="F453" s="18"/>
      <c r="G453" s="18"/>
      <c r="H453" s="2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5:19">
      <c r="E454" s="18"/>
      <c r="F454" s="18"/>
      <c r="G454" s="18"/>
      <c r="H454" s="2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5:19">
      <c r="E455" s="18"/>
      <c r="F455" s="18"/>
      <c r="G455" s="18"/>
      <c r="H455" s="2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5:19">
      <c r="E456" s="18"/>
      <c r="F456" s="18"/>
      <c r="G456" s="18"/>
      <c r="H456" s="2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5:19">
      <c r="E457" s="18"/>
      <c r="F457" s="18"/>
      <c r="G457" s="18"/>
      <c r="H457" s="2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5:19">
      <c r="E458" s="18"/>
      <c r="F458" s="18"/>
      <c r="G458" s="18"/>
      <c r="H458" s="2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5:19">
      <c r="E459" s="18"/>
      <c r="F459" s="18"/>
      <c r="G459" s="18"/>
      <c r="H459" s="2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5:19">
      <c r="E460" s="18"/>
      <c r="F460" s="18"/>
      <c r="G460" s="18"/>
      <c r="H460" s="2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5:19">
      <c r="E461" s="18"/>
      <c r="F461" s="18"/>
      <c r="G461" s="18"/>
      <c r="H461" s="2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5:19">
      <c r="E462" s="18"/>
      <c r="F462" s="18"/>
      <c r="G462" s="18"/>
      <c r="H462" s="2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5:19">
      <c r="E463" s="18"/>
      <c r="F463" s="18"/>
      <c r="G463" s="18"/>
      <c r="H463" s="2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5:19">
      <c r="E464" s="18"/>
      <c r="F464" s="18"/>
      <c r="G464" s="18"/>
      <c r="H464" s="2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5:19">
      <c r="E465" s="18"/>
      <c r="F465" s="18"/>
      <c r="G465" s="18"/>
      <c r="H465" s="2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5:19">
      <c r="E466" s="18"/>
      <c r="F466" s="18"/>
      <c r="G466" s="18"/>
      <c r="H466" s="2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5:19">
      <c r="E467" s="18"/>
      <c r="F467" s="18"/>
      <c r="G467" s="18"/>
      <c r="H467" s="2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5:19">
      <c r="E468" s="18"/>
      <c r="F468" s="18"/>
      <c r="G468" s="18"/>
      <c r="H468" s="2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5:19">
      <c r="E469" s="18"/>
      <c r="F469" s="18"/>
      <c r="G469" s="18"/>
      <c r="H469" s="2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5:19">
      <c r="E470" s="18"/>
      <c r="F470" s="18"/>
      <c r="G470" s="18"/>
      <c r="H470" s="2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5:19">
      <c r="E471" s="18"/>
      <c r="F471" s="18"/>
      <c r="G471" s="18"/>
      <c r="H471" s="2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5:19">
      <c r="E472" s="18"/>
      <c r="F472" s="18"/>
      <c r="G472" s="18"/>
      <c r="H472" s="2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5:19">
      <c r="E473" s="18"/>
      <c r="F473" s="18"/>
      <c r="G473" s="18"/>
      <c r="H473" s="2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5:19">
      <c r="E474" s="18"/>
      <c r="F474" s="18"/>
      <c r="G474" s="18"/>
      <c r="H474" s="2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5:19">
      <c r="E475" s="18"/>
      <c r="F475" s="18"/>
      <c r="G475" s="18"/>
      <c r="H475" s="2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5:19">
      <c r="E476" s="18"/>
      <c r="F476" s="18"/>
      <c r="G476" s="18"/>
      <c r="H476" s="2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5:19">
      <c r="E477" s="18"/>
      <c r="F477" s="18"/>
      <c r="G477" s="18"/>
      <c r="H477" s="2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5:19">
      <c r="E478" s="18"/>
      <c r="F478" s="18"/>
      <c r="G478" s="18"/>
      <c r="H478" s="2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5:19">
      <c r="E479" s="18"/>
      <c r="F479" s="18"/>
      <c r="G479" s="18"/>
      <c r="H479" s="2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5:19">
      <c r="E480" s="18"/>
      <c r="F480" s="18"/>
      <c r="G480" s="18"/>
      <c r="H480" s="2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5:19">
      <c r="E481" s="18"/>
      <c r="F481" s="18"/>
      <c r="G481" s="18"/>
      <c r="H481" s="2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5:19">
      <c r="E482" s="18"/>
      <c r="F482" s="18"/>
      <c r="G482" s="18"/>
      <c r="H482" s="2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5:19">
      <c r="E483" s="18"/>
      <c r="F483" s="18"/>
      <c r="G483" s="18"/>
      <c r="H483" s="2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5:19">
      <c r="E484" s="18"/>
      <c r="F484" s="18"/>
      <c r="G484" s="18"/>
      <c r="H484" s="2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5:19">
      <c r="E485" s="18"/>
      <c r="F485" s="18"/>
      <c r="G485" s="18"/>
      <c r="H485" s="2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5:19">
      <c r="E486" s="18"/>
      <c r="F486" s="18"/>
      <c r="G486" s="18"/>
      <c r="H486" s="2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5:19">
      <c r="E487" s="18"/>
      <c r="F487" s="18"/>
      <c r="G487" s="18"/>
      <c r="H487" s="2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5:19">
      <c r="E488" s="18"/>
      <c r="F488" s="18"/>
      <c r="G488" s="18"/>
      <c r="H488" s="2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5:19">
      <c r="E489" s="18"/>
      <c r="F489" s="18"/>
      <c r="G489" s="18"/>
      <c r="H489" s="2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5:19">
      <c r="E490" s="18"/>
      <c r="F490" s="18"/>
      <c r="G490" s="18"/>
      <c r="H490" s="2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5:19">
      <c r="E491" s="18"/>
      <c r="F491" s="18"/>
      <c r="G491" s="18"/>
      <c r="H491" s="2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5:19">
      <c r="E492" s="18"/>
      <c r="F492" s="18"/>
      <c r="G492" s="18"/>
      <c r="H492" s="2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5:19">
      <c r="E493" s="18"/>
      <c r="F493" s="18"/>
      <c r="G493" s="18"/>
      <c r="H493" s="2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5:19">
      <c r="E494" s="18"/>
      <c r="F494" s="18"/>
      <c r="G494" s="18"/>
      <c r="H494" s="2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5:19">
      <c r="E495" s="18"/>
      <c r="F495" s="18"/>
      <c r="G495" s="18"/>
      <c r="H495" s="2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5:19">
      <c r="E496" s="18"/>
      <c r="F496" s="18"/>
      <c r="G496" s="18"/>
      <c r="H496" s="2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5:19">
      <c r="E497" s="18"/>
      <c r="F497" s="18"/>
      <c r="G497" s="18"/>
      <c r="H497" s="2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5:19">
      <c r="E498" s="18"/>
      <c r="F498" s="18"/>
      <c r="G498" s="18"/>
      <c r="H498" s="2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5:19">
      <c r="E499" s="18"/>
      <c r="F499" s="18"/>
      <c r="G499" s="18"/>
      <c r="H499" s="2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5:19">
      <c r="E500" s="18"/>
      <c r="F500" s="18"/>
      <c r="G500" s="18"/>
      <c r="H500" s="2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5:19">
      <c r="E501" s="18"/>
      <c r="F501" s="18"/>
      <c r="G501" s="18"/>
      <c r="H501" s="2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5:19">
      <c r="E502" s="18"/>
      <c r="F502" s="18"/>
      <c r="G502" s="18"/>
      <c r="H502" s="2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5:19">
      <c r="E503" s="18"/>
      <c r="F503" s="18"/>
      <c r="G503" s="18"/>
      <c r="H503" s="2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5:19">
      <c r="E504" s="18"/>
      <c r="F504" s="18"/>
      <c r="G504" s="18"/>
      <c r="H504" s="2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5:19">
      <c r="E505" s="18"/>
      <c r="F505" s="18"/>
      <c r="G505" s="18"/>
      <c r="H505" s="2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5:19">
      <c r="E506" s="18"/>
      <c r="F506" s="18"/>
      <c r="G506" s="18"/>
      <c r="H506" s="2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5:19">
      <c r="E507" s="18"/>
      <c r="F507" s="18"/>
      <c r="G507" s="18"/>
      <c r="H507" s="2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5:19">
      <c r="E508" s="18"/>
      <c r="F508" s="18"/>
      <c r="G508" s="18"/>
      <c r="H508" s="2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5:19">
      <c r="E509" s="18"/>
      <c r="F509" s="18"/>
      <c r="G509" s="18"/>
      <c r="H509" s="2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5:19">
      <c r="E510" s="18"/>
      <c r="F510" s="18"/>
      <c r="G510" s="18"/>
      <c r="H510" s="2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5:19">
      <c r="E511" s="18"/>
      <c r="F511" s="18"/>
      <c r="G511" s="18"/>
      <c r="H511" s="2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5:19">
      <c r="E512" s="18"/>
      <c r="F512" s="18"/>
      <c r="G512" s="18"/>
      <c r="H512" s="2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5:19">
      <c r="E513" s="18"/>
      <c r="F513" s="18"/>
      <c r="G513" s="18"/>
      <c r="H513" s="2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5:19">
      <c r="E514" s="18"/>
      <c r="F514" s="18"/>
      <c r="G514" s="18"/>
      <c r="H514" s="2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5:19">
      <c r="E515" s="18"/>
      <c r="F515" s="18"/>
      <c r="G515" s="18"/>
      <c r="H515" s="2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5:19">
      <c r="E516" s="18"/>
      <c r="F516" s="18"/>
      <c r="G516" s="18"/>
      <c r="H516" s="2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5:19">
      <c r="E517" s="18"/>
      <c r="F517" s="18"/>
      <c r="G517" s="18"/>
      <c r="H517" s="2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5:19">
      <c r="E518" s="18"/>
      <c r="F518" s="18"/>
      <c r="G518" s="18"/>
      <c r="H518" s="2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5:19">
      <c r="E519" s="18"/>
      <c r="F519" s="18"/>
      <c r="G519" s="18"/>
      <c r="H519" s="2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5:19">
      <c r="E520" s="18"/>
      <c r="F520" s="18"/>
      <c r="G520" s="18"/>
      <c r="H520" s="2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5:19">
      <c r="E521" s="18"/>
      <c r="F521" s="18"/>
      <c r="G521" s="18"/>
      <c r="H521" s="2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5:19">
      <c r="E522" s="18"/>
      <c r="F522" s="18"/>
      <c r="G522" s="18"/>
      <c r="H522" s="2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5:19">
      <c r="E523" s="18"/>
      <c r="F523" s="18"/>
      <c r="G523" s="18"/>
      <c r="H523" s="2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5:19">
      <c r="E524" s="18"/>
      <c r="F524" s="18"/>
      <c r="G524" s="18"/>
      <c r="H524" s="2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5:19">
      <c r="E525" s="18"/>
      <c r="F525" s="18"/>
      <c r="G525" s="18"/>
      <c r="H525" s="2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5:19">
      <c r="E526" s="18"/>
      <c r="F526" s="18"/>
      <c r="G526" s="18"/>
      <c r="H526" s="2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5:19">
      <c r="E527" s="18"/>
      <c r="F527" s="18"/>
      <c r="G527" s="18"/>
      <c r="H527" s="2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5:19">
      <c r="E528" s="18"/>
      <c r="F528" s="18"/>
      <c r="G528" s="18"/>
      <c r="H528" s="2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5:19">
      <c r="E529" s="18"/>
      <c r="F529" s="18"/>
      <c r="G529" s="18"/>
      <c r="H529" s="2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5:19">
      <c r="E530" s="18"/>
      <c r="F530" s="18"/>
      <c r="G530" s="18"/>
      <c r="H530" s="2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5:19">
      <c r="E531" s="18"/>
      <c r="F531" s="18"/>
      <c r="G531" s="18"/>
      <c r="H531" s="2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5:19">
      <c r="E532" s="18"/>
      <c r="F532" s="18"/>
      <c r="G532" s="18"/>
      <c r="H532" s="2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5:19">
      <c r="E533" s="18"/>
      <c r="F533" s="18"/>
      <c r="G533" s="18"/>
      <c r="H533" s="2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5:19">
      <c r="E534" s="18"/>
      <c r="F534" s="18"/>
      <c r="G534" s="18"/>
      <c r="H534" s="2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5:19">
      <c r="E535" s="18"/>
      <c r="F535" s="18"/>
      <c r="G535" s="18"/>
      <c r="H535" s="2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5:19">
      <c r="E536" s="18"/>
      <c r="F536" s="18"/>
      <c r="G536" s="18"/>
      <c r="H536" s="2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5:19">
      <c r="E537" s="18"/>
      <c r="F537" s="18"/>
      <c r="G537" s="18"/>
      <c r="H537" s="2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5:19">
      <c r="E538" s="18"/>
      <c r="F538" s="18"/>
      <c r="G538" s="18"/>
      <c r="H538" s="2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5:19">
      <c r="E539" s="18"/>
      <c r="F539" s="18"/>
      <c r="G539" s="18"/>
      <c r="H539" s="2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5:19">
      <c r="E540" s="18"/>
      <c r="F540" s="18"/>
      <c r="G540" s="18"/>
      <c r="H540" s="2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5:19">
      <c r="E541" s="18"/>
      <c r="F541" s="18"/>
      <c r="G541" s="18"/>
      <c r="H541" s="2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5:19">
      <c r="E542" s="18"/>
      <c r="F542" s="18"/>
      <c r="G542" s="18"/>
      <c r="H542" s="2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5:19">
      <c r="E543" s="18"/>
      <c r="F543" s="18"/>
      <c r="G543" s="18"/>
      <c r="H543" s="2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5:19">
      <c r="E544" s="18"/>
      <c r="F544" s="18"/>
      <c r="G544" s="18"/>
      <c r="H544" s="2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5:19">
      <c r="E545" s="18"/>
      <c r="F545" s="18"/>
      <c r="G545" s="18"/>
      <c r="H545" s="2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5:19">
      <c r="E546" s="18"/>
      <c r="F546" s="18"/>
      <c r="G546" s="18"/>
      <c r="H546" s="2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5:19">
      <c r="E547" s="18"/>
      <c r="F547" s="18"/>
      <c r="G547" s="18"/>
      <c r="H547" s="2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5:19">
      <c r="E548" s="18"/>
      <c r="F548" s="18"/>
      <c r="G548" s="18"/>
      <c r="H548" s="2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5:19">
      <c r="E549" s="18"/>
      <c r="F549" s="18"/>
      <c r="G549" s="18"/>
      <c r="H549" s="2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5:19">
      <c r="E550" s="18"/>
      <c r="F550" s="18"/>
      <c r="G550" s="18"/>
      <c r="H550" s="2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5:19">
      <c r="E551" s="18"/>
      <c r="F551" s="18"/>
      <c r="G551" s="18"/>
      <c r="H551" s="2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5:19">
      <c r="E552" s="18"/>
      <c r="F552" s="18"/>
      <c r="G552" s="18"/>
      <c r="H552" s="2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5:19">
      <c r="E553" s="18"/>
      <c r="F553" s="18"/>
      <c r="G553" s="18"/>
      <c r="H553" s="2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5:19">
      <c r="E554" s="18"/>
      <c r="F554" s="18"/>
      <c r="G554" s="18"/>
      <c r="H554" s="2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5:19">
      <c r="E555" s="18"/>
      <c r="F555" s="18"/>
      <c r="G555" s="18"/>
      <c r="H555" s="2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5:19">
      <c r="E556" s="18"/>
      <c r="F556" s="18"/>
      <c r="G556" s="18"/>
      <c r="H556" s="2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5:19">
      <c r="E557" s="18"/>
      <c r="F557" s="18"/>
      <c r="G557" s="18"/>
      <c r="H557" s="2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5:19">
      <c r="E558" s="18"/>
      <c r="F558" s="18"/>
      <c r="G558" s="18"/>
      <c r="H558" s="2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5:19">
      <c r="E559" s="18"/>
      <c r="F559" s="18"/>
      <c r="G559" s="18"/>
      <c r="H559" s="2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5:19">
      <c r="E560" s="18"/>
      <c r="F560" s="18"/>
      <c r="G560" s="18"/>
      <c r="H560" s="2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5:19">
      <c r="E561" s="18"/>
      <c r="F561" s="18"/>
      <c r="G561" s="18"/>
      <c r="H561" s="2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5:19">
      <c r="E562" s="18"/>
      <c r="F562" s="18"/>
      <c r="G562" s="18"/>
      <c r="H562" s="2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5:19">
      <c r="E563" s="18"/>
      <c r="F563" s="18"/>
      <c r="G563" s="18"/>
      <c r="H563" s="2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5:19">
      <c r="E564" s="18"/>
      <c r="F564" s="18"/>
      <c r="G564" s="18"/>
      <c r="H564" s="2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5:19">
      <c r="E565" s="18"/>
      <c r="F565" s="18"/>
      <c r="G565" s="18"/>
      <c r="H565" s="2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5:19">
      <c r="E566" s="18"/>
      <c r="F566" s="18"/>
      <c r="G566" s="18"/>
      <c r="H566" s="2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5:19">
      <c r="E567" s="18"/>
      <c r="F567" s="18"/>
      <c r="G567" s="18"/>
      <c r="H567" s="2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5:19">
      <c r="E568" s="18"/>
      <c r="F568" s="18"/>
      <c r="G568" s="18"/>
      <c r="H568" s="2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5:19">
      <c r="E569" s="18"/>
      <c r="F569" s="18"/>
      <c r="G569" s="18"/>
      <c r="H569" s="2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5:19">
      <c r="E570" s="18"/>
      <c r="F570" s="18"/>
      <c r="G570" s="18"/>
      <c r="H570" s="2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5:19">
      <c r="E571" s="18"/>
      <c r="F571" s="18"/>
      <c r="G571" s="18"/>
      <c r="H571" s="2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5:19">
      <c r="E572" s="18"/>
      <c r="F572" s="18"/>
      <c r="G572" s="18"/>
      <c r="H572" s="2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5:19">
      <c r="E573" s="18"/>
      <c r="F573" s="18"/>
      <c r="G573" s="18"/>
      <c r="H573" s="2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5:19">
      <c r="E574" s="18"/>
      <c r="F574" s="18"/>
      <c r="G574" s="18"/>
      <c r="H574" s="2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5:19">
      <c r="E575" s="18"/>
      <c r="F575" s="18"/>
      <c r="G575" s="18"/>
      <c r="H575" s="2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5:19">
      <c r="E576" s="18"/>
      <c r="F576" s="18"/>
      <c r="G576" s="18"/>
      <c r="H576" s="2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5:19">
      <c r="E577" s="18"/>
      <c r="F577" s="18"/>
      <c r="G577" s="18"/>
      <c r="H577" s="2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5:19">
      <c r="E578" s="18"/>
      <c r="F578" s="18"/>
      <c r="G578" s="18"/>
      <c r="H578" s="2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5:19">
      <c r="E579" s="18"/>
      <c r="F579" s="18"/>
      <c r="G579" s="18"/>
      <c r="H579" s="2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5:19">
      <c r="E580" s="18"/>
      <c r="F580" s="18"/>
      <c r="G580" s="18"/>
      <c r="H580" s="2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5:19">
      <c r="E581" s="18"/>
      <c r="F581" s="18"/>
      <c r="G581" s="18"/>
      <c r="H581" s="2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5:19">
      <c r="E582" s="18"/>
      <c r="F582" s="18"/>
      <c r="G582" s="18"/>
      <c r="H582" s="2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5:19">
      <c r="E583" s="18"/>
      <c r="F583" s="18"/>
      <c r="G583" s="18"/>
      <c r="H583" s="2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5:19">
      <c r="E584" s="18"/>
      <c r="F584" s="18"/>
      <c r="G584" s="18"/>
      <c r="H584" s="2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5:19">
      <c r="E585" s="18"/>
      <c r="F585" s="18"/>
      <c r="G585" s="18"/>
      <c r="H585" s="2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5:19">
      <c r="E586" s="18"/>
      <c r="F586" s="18"/>
      <c r="G586" s="18"/>
      <c r="H586" s="2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5:19">
      <c r="E587" s="18"/>
      <c r="F587" s="18"/>
      <c r="G587" s="18"/>
      <c r="H587" s="2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5:19">
      <c r="E588" s="18"/>
      <c r="F588" s="18"/>
      <c r="G588" s="18"/>
      <c r="H588" s="2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5:19">
      <c r="E589" s="18"/>
      <c r="F589" s="18"/>
      <c r="G589" s="18"/>
      <c r="H589" s="2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5:19">
      <c r="E590" s="18"/>
      <c r="F590" s="18"/>
      <c r="G590" s="18"/>
      <c r="H590" s="2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5:19">
      <c r="E591" s="18"/>
      <c r="F591" s="18"/>
      <c r="G591" s="18"/>
      <c r="H591" s="2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5:19">
      <c r="E592" s="18"/>
      <c r="F592" s="18"/>
      <c r="G592" s="18"/>
      <c r="H592" s="2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>
      <c r="E593" s="18"/>
      <c r="F593" s="18"/>
      <c r="G593" s="18"/>
      <c r="H593" s="2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>
      <c r="E594" s="18"/>
      <c r="F594" s="18"/>
      <c r="G594" s="18"/>
      <c r="H594" s="2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>
      <c r="E595" s="18"/>
      <c r="F595" s="18"/>
      <c r="G595" s="18"/>
      <c r="H595" s="2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>
      <c r="E596" s="18"/>
      <c r="F596" s="18"/>
      <c r="G596" s="18"/>
      <c r="H596" s="2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600" spans="1:19">
      <c r="A600" s="51" t="s">
        <v>167</v>
      </c>
      <c r="B600" s="52"/>
      <c r="C600" s="52"/>
      <c r="D600" s="53"/>
      <c r="E600" s="7"/>
      <c r="F600" s="51" t="str">
        <f>A600</f>
        <v>PPB31405_deglyc_2K_2pQ_2GSH_1Cys_8Ox</v>
      </c>
      <c r="G600" s="53"/>
      <c r="H600" s="7"/>
      <c r="I600" s="13" t="s">
        <v>168</v>
      </c>
      <c r="J600" s="3">
        <f>SUM(H2:H592)</f>
        <v>441135319.34375</v>
      </c>
    </row>
    <row r="601" spans="1:19">
      <c r="A601" s="54" t="s">
        <v>2</v>
      </c>
      <c r="B601" s="52"/>
      <c r="C601" s="52"/>
      <c r="D601" s="53"/>
      <c r="E601" s="7"/>
      <c r="F601" s="6" t="s">
        <v>169</v>
      </c>
      <c r="G601" s="8" t="s">
        <v>169</v>
      </c>
      <c r="H601" s="24"/>
      <c r="I601" s="14" t="s">
        <v>170</v>
      </c>
      <c r="J601" s="4">
        <f>100-(SUMIF(C2:C592,"",H2:H592)/J600*100)</f>
        <v>82.343790409172215</v>
      </c>
    </row>
    <row r="602" spans="1:19">
      <c r="A602" s="27">
        <v>0</v>
      </c>
      <c r="B602" s="27">
        <v>1</v>
      </c>
      <c r="C602" s="27">
        <v>2</v>
      </c>
      <c r="D602" s="27">
        <v>3</v>
      </c>
      <c r="E602" s="24"/>
      <c r="F602" s="11" t="e">
        <f>(A603*A602+B603*B602+C603*C602+D603*D602)/(A603+B603+C603+D603)</f>
        <v>#DIV/0!</v>
      </c>
      <c r="G602" s="34">
        <f>IFERROR(F602,0)</f>
        <v>0</v>
      </c>
      <c r="H602" s="32"/>
      <c r="I602" s="13" t="s">
        <v>171</v>
      </c>
      <c r="J602" s="5" t="e">
        <f>#REF!</f>
        <v>#REF!</v>
      </c>
    </row>
    <row r="603" spans="1:19">
      <c r="A603" s="2">
        <f>SUMIFS($H$2:$H$592,$A$2:$A$592,$A600,$B$2:$B$592,A602, $I$2:$I$592,"&gt;="&amp;$J$602,$G$2:$G$592,"&lt;="&amp;$J$603)</f>
        <v>0</v>
      </c>
      <c r="B603" s="2">
        <f>SUMIFS($H$2:$H$592,$A$2:$A$592,$A600,$B$2:$B$592,B602, $I$2:$I$592,"&gt;="&amp;$J$602,$G$2:$G$592,"&lt;="&amp;$J$603)</f>
        <v>0</v>
      </c>
      <c r="C603" s="2">
        <f>SUMIFS($H$2:$H$592,$A$2:$A$592,$A600,$B$2:$B$592,C602, $I$2:$I$592,"&gt;="&amp;$J$602,$G$2:$G$592,"&lt;="&amp;$J$603)</f>
        <v>0</v>
      </c>
      <c r="D603" s="2">
        <f>SUMIFS($H$2:$H$592,$A$2:$A$592,$A600,$B$2:$B$592,D602, $I$2:$I$592,"&gt;="&amp;$J$602,$G$2:$G$592,"&lt;="&amp;$J$603)</f>
        <v>0</v>
      </c>
      <c r="E603" s="9"/>
      <c r="F603" s="1">
        <f>SUM(A603:D603)</f>
        <v>0</v>
      </c>
      <c r="G603" s="1">
        <f>F603</f>
        <v>0</v>
      </c>
      <c r="H603" s="9"/>
      <c r="I603" s="13" t="s">
        <v>172</v>
      </c>
      <c r="J603" s="5" t="e">
        <f>#REF!</f>
        <v>#REF!</v>
      </c>
    </row>
    <row r="604" spans="1:19">
      <c r="C604" s="25"/>
      <c r="D604" s="25"/>
      <c r="I604" s="13" t="s">
        <v>173</v>
      </c>
      <c r="J604" s="3">
        <f>SUMIFS(H2:H592,I2:I592,"&gt;"&amp;J602,G2:G592,"&lt;"&amp;J603)</f>
        <v>0</v>
      </c>
    </row>
    <row r="605" spans="1:19">
      <c r="A605" s="51" t="s">
        <v>174</v>
      </c>
      <c r="B605" s="52"/>
      <c r="C605" s="52"/>
      <c r="D605" s="53"/>
      <c r="E605" s="7"/>
      <c r="F605" s="51" t="str">
        <f>A605</f>
        <v>PPB31405_deglyc_2K_2pQ_2GSH_1Cys_5Ox</v>
      </c>
      <c r="G605" s="53"/>
      <c r="H605" s="7"/>
      <c r="I605" s="14" t="s">
        <v>175</v>
      </c>
      <c r="J605" s="4" t="e">
        <f>$G$651/$J$604*100</f>
        <v>#DIV/0!</v>
      </c>
    </row>
    <row r="606" spans="1:19">
      <c r="A606" s="54" t="s">
        <v>2</v>
      </c>
      <c r="B606" s="52"/>
      <c r="C606" s="52"/>
      <c r="D606" s="53"/>
      <c r="E606" s="7"/>
      <c r="F606" s="6" t="s">
        <v>169</v>
      </c>
      <c r="G606" s="6" t="str">
        <f>F606</f>
        <v>Mean DAR w/ cut-off</v>
      </c>
      <c r="H606" s="24"/>
    </row>
    <row r="607" spans="1:19">
      <c r="A607" s="27">
        <v>0</v>
      </c>
      <c r="B607" s="27">
        <v>1</v>
      </c>
      <c r="C607" s="27">
        <v>2</v>
      </c>
      <c r="D607" s="27">
        <v>3</v>
      </c>
      <c r="E607" s="24"/>
      <c r="F607" s="12" t="e">
        <f>(A608*A607+B608*B607+C608*C607+D608*D607)/(A608+B608+C608+D608)</f>
        <v>#DIV/0!</v>
      </c>
      <c r="G607" s="34">
        <f>IFERROR(F607,0)</f>
        <v>0</v>
      </c>
      <c r="H607" s="32"/>
      <c r="I607" s="28" t="s">
        <v>169</v>
      </c>
      <c r="J607" s="35" t="e">
        <f>(G602*G603+G607*G608+G612*G613+G617*G618+G622*G623+G627*G628+G632*G633+G637*G638+G642*G643+G647*G648)/$G$651</f>
        <v>#DIV/0!</v>
      </c>
    </row>
    <row r="608" spans="1:19">
      <c r="A608" s="2">
        <f>SUMIFS($H$2:$H$592,$A$2:$A$592,$A605,$B$2:$B$592,A607, $I$2:$I$592,"&gt;="&amp;$J$602,$G$2:$G$592,"&lt;="&amp;$J$603)</f>
        <v>0</v>
      </c>
      <c r="B608" s="2">
        <f>SUMIFS($H$2:$H$592,$A$2:$A$592,$A605,$B$2:$B$592,B607, $I$2:$I$592,"&gt;="&amp;$J$602,$G$2:$G$592,"&lt;="&amp;$J$603)</f>
        <v>0</v>
      </c>
      <c r="C608" s="2">
        <f>SUMIFS($H$2:$H$592,$A$2:$A$592,$A605,$B$2:$B$592,C607, $I$2:$I$592,"&gt;="&amp;$J$602,$G$2:$G$592,"&lt;="&amp;$J$603)</f>
        <v>0</v>
      </c>
      <c r="D608" s="2">
        <f>SUMIFS($H$2:$H$592,$A$2:$A$592,$A605,$B$2:$B$592,D607, $I$2:$I$592,"&gt;="&amp;$J$602,$G$2:$G$592,"&lt;="&amp;$J$603)</f>
        <v>0</v>
      </c>
      <c r="E608" s="9"/>
      <c r="F608" s="1">
        <f>SUM(A608:D608)</f>
        <v>0</v>
      </c>
      <c r="G608" s="1">
        <f>F608</f>
        <v>0</v>
      </c>
      <c r="H608" s="9"/>
      <c r="I608" s="24"/>
      <c r="J608" s="33"/>
    </row>
    <row r="609" spans="1:10">
      <c r="C609" s="25"/>
      <c r="D609" s="25"/>
      <c r="I609" s="24"/>
      <c r="J609" s="33"/>
    </row>
    <row r="610" spans="1:10">
      <c r="A610" s="51" t="s">
        <v>176</v>
      </c>
      <c r="B610" s="52"/>
      <c r="C610" s="52"/>
      <c r="D610" s="53"/>
      <c r="E610" s="7"/>
      <c r="F610" s="51" t="str">
        <f>A610</f>
        <v>PPB31405_deglyc_2K_2pQ_2GSH_5Ox</v>
      </c>
      <c r="G610" s="53"/>
      <c r="H610" s="7"/>
    </row>
    <row r="611" spans="1:10">
      <c r="A611" s="54" t="s">
        <v>2</v>
      </c>
      <c r="B611" s="52"/>
      <c r="C611" s="52"/>
      <c r="D611" s="53"/>
      <c r="E611" s="7"/>
      <c r="F611" s="6" t="s">
        <v>169</v>
      </c>
      <c r="G611" s="6" t="str">
        <f>F611</f>
        <v>Mean DAR w/ cut-off</v>
      </c>
      <c r="H611" s="24"/>
      <c r="I611" s="48"/>
      <c r="J611" s="49"/>
    </row>
    <row r="612" spans="1:10">
      <c r="A612" s="27">
        <v>0</v>
      </c>
      <c r="B612" s="27">
        <v>1</v>
      </c>
      <c r="C612" s="27">
        <v>2</v>
      </c>
      <c r="D612" s="27">
        <v>3</v>
      </c>
      <c r="E612" s="24"/>
      <c r="F612" s="12" t="e">
        <f>(A613*A612+B613*B612+C613*C612+D613*D612)/(A613+B613+C613+D613)</f>
        <v>#DIV/0!</v>
      </c>
      <c r="G612" s="34">
        <f>IFERROR(F612,0)</f>
        <v>0</v>
      </c>
      <c r="H612" s="32"/>
      <c r="I612" s="24"/>
      <c r="J612" s="33"/>
    </row>
    <row r="613" spans="1:10">
      <c r="A613" s="2">
        <f>SUMIFS($H$2:$H$592,$A$2:$A$592,$A610,$B$2:$B$592,A612, $I$2:$I$592,"&gt;="&amp;$J$602,$G$2:$G$592,"&lt;="&amp;$J$603)</f>
        <v>0</v>
      </c>
      <c r="B613" s="2">
        <f>SUMIFS($H$2:$H$592,$A$2:$A$592,$A610,$B$2:$B$592,B612, $I$2:$I$592,"&gt;="&amp;$J$602,$G$2:$G$592,"&lt;="&amp;$J$603)</f>
        <v>0</v>
      </c>
      <c r="C613" s="2">
        <f>SUMIFS($H$2:$H$592,$A$2:$A$592,$A610,$B$2:$B$592,C612, $I$2:$I$592,"&gt;="&amp;$J$602,$G$2:$G$592,"&lt;="&amp;$J$603)</f>
        <v>0</v>
      </c>
      <c r="D613" s="2">
        <f>SUMIFS($H$2:$H$592,$A$2:$A$592,$A610,$B$2:$B$592,D612, $I$2:$I$592,"&gt;="&amp;$J$602,$G$2:$G$592,"&lt;="&amp;$J$603)</f>
        <v>0</v>
      </c>
      <c r="E613" s="9"/>
      <c r="F613" s="1">
        <f>SUM(A613:D613)</f>
        <v>0</v>
      </c>
      <c r="G613" s="1">
        <f>F613</f>
        <v>0</v>
      </c>
      <c r="H613" s="9"/>
      <c r="I613" s="24"/>
      <c r="J613" s="33"/>
    </row>
    <row r="614" spans="1:10">
      <c r="A614" s="9"/>
      <c r="B614" s="9"/>
      <c r="C614" s="9"/>
      <c r="D614" s="9"/>
      <c r="E614" s="9"/>
      <c r="F614" s="9"/>
      <c r="G614" s="9"/>
      <c r="H614" s="9"/>
      <c r="I614" s="24"/>
      <c r="J614" s="33"/>
    </row>
    <row r="615" spans="1:10">
      <c r="A615" s="51" t="s">
        <v>177</v>
      </c>
      <c r="B615" s="52"/>
      <c r="C615" s="52"/>
      <c r="D615" s="53"/>
      <c r="E615" s="7"/>
      <c r="F615" s="51" t="str">
        <f>A615</f>
        <v>PPB31405_deglyc_2K_2pQ_1GSH_2Ox</v>
      </c>
      <c r="G615" s="53"/>
      <c r="H615" s="7"/>
    </row>
    <row r="616" spans="1:10">
      <c r="A616" s="54" t="s">
        <v>2</v>
      </c>
      <c r="B616" s="52"/>
      <c r="C616" s="52"/>
      <c r="D616" s="53"/>
      <c r="E616" s="7"/>
      <c r="F616" s="6" t="s">
        <v>169</v>
      </c>
      <c r="G616" s="6" t="str">
        <f>F616</f>
        <v>Mean DAR w/ cut-off</v>
      </c>
      <c r="H616" s="24"/>
      <c r="I616" s="48"/>
      <c r="J616" s="49"/>
    </row>
    <row r="617" spans="1:10">
      <c r="A617" s="27">
        <v>0</v>
      </c>
      <c r="B617" s="27">
        <v>1</v>
      </c>
      <c r="C617" s="27">
        <v>2</v>
      </c>
      <c r="D617" s="27">
        <v>3</v>
      </c>
      <c r="E617" s="24"/>
      <c r="F617" s="12" t="e">
        <f>(A618*A617+B618*B617+C618*C617+D618*D617)/(A618+B618+C618+D618)</f>
        <v>#DIV/0!</v>
      </c>
      <c r="G617" s="34">
        <f>IFERROR(F617,0)</f>
        <v>0</v>
      </c>
      <c r="H617" s="32"/>
      <c r="I617" s="24"/>
      <c r="J617" s="33"/>
    </row>
    <row r="618" spans="1:10">
      <c r="A618" s="2">
        <f>SUMIFS($H$2:$H$592,$A$2:$A$592,$A615,$B$2:$B$592,A617, $I$2:$I$592,"&gt;="&amp;$J$602,$G$2:$G$592,"&lt;="&amp;$J$603)</f>
        <v>0</v>
      </c>
      <c r="B618" s="2">
        <f>SUMIFS($H$2:$H$592,$A$2:$A$592,$A615,$B$2:$B$592,B617, $I$2:$I$592,"&gt;="&amp;$J$602,$G$2:$G$592,"&lt;="&amp;$J$603)</f>
        <v>0</v>
      </c>
      <c r="C618" s="2">
        <f>SUMIFS($H$2:$H$592,$A$2:$A$592,$A615,$B$2:$B$592,C617, $I$2:$I$592,"&gt;="&amp;$J$602,$G$2:$G$592,"&lt;="&amp;$J$603)</f>
        <v>0</v>
      </c>
      <c r="D618" s="2">
        <f>SUMIFS($H$2:$H$592,$A$2:$A$592,$A615,$B$2:$B$592,D617, $I$2:$I$592,"&gt;="&amp;$J$602,$G$2:$G$592,"&lt;="&amp;$J$603)</f>
        <v>0</v>
      </c>
      <c r="E618" s="9"/>
      <c r="F618" s="1">
        <f>SUM(A618:D618)</f>
        <v>0</v>
      </c>
      <c r="G618" s="1">
        <f>F618</f>
        <v>0</v>
      </c>
      <c r="H618" s="9"/>
      <c r="I618" s="24"/>
      <c r="J618" s="33"/>
    </row>
    <row r="619" spans="1:10">
      <c r="A619" s="9"/>
      <c r="B619" s="9"/>
      <c r="C619" s="9"/>
      <c r="D619" s="9"/>
      <c r="E619" s="9"/>
      <c r="F619" s="9"/>
      <c r="G619" s="9"/>
      <c r="H619" s="9"/>
      <c r="I619" s="24"/>
      <c r="J619" s="33"/>
    </row>
    <row r="620" spans="1:10">
      <c r="A620" s="51" t="s">
        <v>178</v>
      </c>
      <c r="B620" s="52"/>
      <c r="C620" s="52"/>
      <c r="D620" s="53"/>
      <c r="E620" s="7"/>
      <c r="F620" s="51" t="str">
        <f>A620</f>
        <v>PPB31405_deglyc_2GK_2pQ</v>
      </c>
      <c r="G620" s="53"/>
      <c r="H620" s="7"/>
    </row>
    <row r="621" spans="1:10">
      <c r="A621" s="54" t="s">
        <v>2</v>
      </c>
      <c r="B621" s="52"/>
      <c r="C621" s="52"/>
      <c r="D621" s="53"/>
      <c r="E621" s="7"/>
      <c r="F621" s="6" t="s">
        <v>169</v>
      </c>
      <c r="G621" s="6" t="str">
        <f>F621</f>
        <v>Mean DAR w/ cut-off</v>
      </c>
      <c r="H621" s="24"/>
      <c r="I621" s="48"/>
      <c r="J621" s="49"/>
    </row>
    <row r="622" spans="1:10">
      <c r="A622" s="27">
        <v>0</v>
      </c>
      <c r="B622" s="27">
        <v>1</v>
      </c>
      <c r="C622" s="27">
        <v>2</v>
      </c>
      <c r="D622" s="27">
        <v>3</v>
      </c>
      <c r="E622" s="24"/>
      <c r="F622" s="12" t="e">
        <f>(A623*A622+B623*B622+C623*C622+D623*D622)/(A623+B623+C623+D623)</f>
        <v>#DIV/0!</v>
      </c>
      <c r="G622" s="34">
        <f>IFERROR(F622,0)</f>
        <v>0</v>
      </c>
      <c r="H622" s="32"/>
      <c r="I622" s="24"/>
      <c r="J622" s="33"/>
    </row>
    <row r="623" spans="1:10">
      <c r="A623" s="2">
        <f>SUMIFS($H$2:$H$592,$A$2:$A$592,$A620,$B$2:$B$592,A622, $I$2:$I$592,"&gt;="&amp;$J$602,$G$2:$G$592,"&lt;="&amp;$J$603)</f>
        <v>0</v>
      </c>
      <c r="B623" s="2">
        <f>SUMIFS($H$2:$H$592,$A$2:$A$592,$A620,$B$2:$B$592,B622, $I$2:$I$592,"&gt;="&amp;$J$602,$G$2:$G$592,"&lt;="&amp;$J$603)</f>
        <v>0</v>
      </c>
      <c r="C623" s="2">
        <f>SUMIFS($H$2:$H$592,$A$2:$A$592,$A620,$B$2:$B$592,C622, $I$2:$I$592,"&gt;="&amp;$J$602,$G$2:$G$592,"&lt;="&amp;$J$603)</f>
        <v>0</v>
      </c>
      <c r="D623" s="2">
        <f>SUMIFS($H$2:$H$592,$A$2:$A$592,$A620,$B$2:$B$592,D622, $I$2:$I$592,"&gt;="&amp;$J$602,$G$2:$G$592,"&lt;="&amp;$J$603)</f>
        <v>0</v>
      </c>
      <c r="E623" s="9"/>
      <c r="F623" s="1">
        <f>SUM(A623:D623)</f>
        <v>0</v>
      </c>
      <c r="G623" s="1">
        <f>F623</f>
        <v>0</v>
      </c>
      <c r="H623" s="9"/>
      <c r="I623" s="24"/>
      <c r="J623" s="33"/>
    </row>
    <row r="624" spans="1:10">
      <c r="A624" s="9"/>
      <c r="B624" s="9"/>
      <c r="C624" s="9"/>
      <c r="D624" s="9"/>
      <c r="E624" s="9"/>
      <c r="F624" s="9"/>
      <c r="G624" s="9"/>
      <c r="H624" s="9"/>
      <c r="I624" s="24"/>
      <c r="J624" s="33"/>
    </row>
    <row r="625" spans="1:10">
      <c r="A625" s="51" t="s">
        <v>179</v>
      </c>
      <c r="B625" s="52"/>
      <c r="C625" s="52"/>
      <c r="D625" s="53"/>
      <c r="E625" s="7"/>
      <c r="F625" s="51" t="str">
        <f>A625</f>
        <v>PPB31405_deglyc_1K1GK_2pQ</v>
      </c>
      <c r="G625" s="53"/>
      <c r="H625" s="7"/>
    </row>
    <row r="626" spans="1:10">
      <c r="A626" s="54" t="s">
        <v>2</v>
      </c>
      <c r="B626" s="52"/>
      <c r="C626" s="52"/>
      <c r="D626" s="53"/>
      <c r="E626" s="7"/>
      <c r="F626" s="6" t="s">
        <v>169</v>
      </c>
      <c r="G626" s="6" t="str">
        <f>F626</f>
        <v>Mean DAR w/ cut-off</v>
      </c>
      <c r="H626" s="24"/>
      <c r="I626" s="48"/>
      <c r="J626" s="49"/>
    </row>
    <row r="627" spans="1:10">
      <c r="A627" s="27">
        <v>0</v>
      </c>
      <c r="B627" s="27">
        <v>1</v>
      </c>
      <c r="C627" s="27">
        <v>2</v>
      </c>
      <c r="D627" s="27">
        <v>3</v>
      </c>
      <c r="E627" s="24"/>
      <c r="F627" s="12" t="e">
        <f>(A628*A627+B628*B627+C628*C627+D628*D627)/(A628+B628+C628+D628)</f>
        <v>#DIV/0!</v>
      </c>
      <c r="G627" s="34">
        <f>IFERROR(F627,0)</f>
        <v>0</v>
      </c>
      <c r="H627" s="32"/>
      <c r="I627" s="24"/>
      <c r="J627" s="33"/>
    </row>
    <row r="628" spans="1:10">
      <c r="A628" s="2">
        <f>SUMIFS($H$2:$H$592,$A$2:$A$592,$A625,$B$2:$B$592,A627, $I$2:$I$592,"&gt;="&amp;$J$602,$G$2:$G$592,"&lt;="&amp;$J$603)</f>
        <v>0</v>
      </c>
      <c r="B628" s="2">
        <f>SUMIFS($H$2:$H$592,$A$2:$A$592,$A625,$B$2:$B$592,B627, $I$2:$I$592,"&gt;="&amp;$J$602,$G$2:$G$592,"&lt;="&amp;$J$603)</f>
        <v>0</v>
      </c>
      <c r="C628" s="2">
        <f>SUMIFS($H$2:$H$592,$A$2:$A$592,$A625,$B$2:$B$592,C627, $I$2:$I$592,"&gt;="&amp;$J$602,$G$2:$G$592,"&lt;="&amp;$J$603)</f>
        <v>0</v>
      </c>
      <c r="D628" s="2">
        <f>SUMIFS($H$2:$H$592,$A$2:$A$592,$A625,$B$2:$B$592,D627, $I$2:$I$592,"&gt;="&amp;$J$602,$G$2:$G$592,"&lt;="&amp;$J$603)</f>
        <v>0</v>
      </c>
      <c r="E628" s="9"/>
      <c r="F628" s="1">
        <f>SUM(A628:D628)</f>
        <v>0</v>
      </c>
      <c r="G628" s="1">
        <f>F628</f>
        <v>0</v>
      </c>
      <c r="H628" s="9"/>
      <c r="I628" s="24"/>
      <c r="J628" s="33"/>
    </row>
    <row r="629" spans="1:10">
      <c r="A629" s="9"/>
      <c r="B629" s="9"/>
      <c r="C629" s="9"/>
      <c r="D629" s="9"/>
      <c r="E629" s="9"/>
      <c r="F629" s="9"/>
      <c r="G629" s="9"/>
      <c r="H629" s="9"/>
      <c r="I629" s="24"/>
      <c r="J629" s="33"/>
    </row>
    <row r="630" spans="1:10">
      <c r="A630" s="51" t="s">
        <v>180</v>
      </c>
      <c r="B630" s="52"/>
      <c r="C630" s="52"/>
      <c r="D630" s="53"/>
      <c r="E630" s="7"/>
      <c r="F630" s="51" t="str">
        <f>A630</f>
        <v>PPB31405_deglyc_1GK</v>
      </c>
      <c r="G630" s="53"/>
      <c r="H630" s="7"/>
    </row>
    <row r="631" spans="1:10">
      <c r="A631" s="54" t="s">
        <v>2</v>
      </c>
      <c r="B631" s="52"/>
      <c r="C631" s="52"/>
      <c r="D631" s="53"/>
      <c r="E631" s="7"/>
      <c r="F631" s="6" t="s">
        <v>169</v>
      </c>
      <c r="G631" s="6" t="str">
        <f>F631</f>
        <v>Mean DAR w/ cut-off</v>
      </c>
      <c r="H631" s="24"/>
      <c r="I631" s="48"/>
      <c r="J631" s="49"/>
    </row>
    <row r="632" spans="1:10">
      <c r="A632" s="27">
        <v>0</v>
      </c>
      <c r="B632" s="27">
        <v>1</v>
      </c>
      <c r="C632" s="27">
        <v>2</v>
      </c>
      <c r="D632" s="27">
        <v>3</v>
      </c>
      <c r="E632" s="24"/>
      <c r="F632" s="12" t="e">
        <f>(A633*A632+B633*B632+C633*C632+D633*D632)/(A633+B633+C633+D633)</f>
        <v>#DIV/0!</v>
      </c>
      <c r="G632" s="34">
        <f>IFERROR(F632,0)</f>
        <v>0</v>
      </c>
      <c r="H632" s="32"/>
      <c r="I632" s="24"/>
      <c r="J632" s="33"/>
    </row>
    <row r="633" spans="1:10">
      <c r="A633" s="2">
        <f>SUMIFS($H$2:$H$592,$A$2:$A$592,$A630,$B$2:$B$592,A632, $I$2:$I$592,"&gt;="&amp;$J$602,$G$2:$G$592,"&lt;="&amp;$J$603)</f>
        <v>0</v>
      </c>
      <c r="B633" s="2">
        <f>SUMIFS($H$2:$H$592,$A$2:$A$592,$A630,$B$2:$B$592,B632, $I$2:$I$592,"&gt;="&amp;$J$602,$G$2:$G$592,"&lt;="&amp;$J$603)</f>
        <v>0</v>
      </c>
      <c r="C633" s="2">
        <f>SUMIFS($H$2:$H$592,$A$2:$A$592,$A630,$B$2:$B$592,C632, $I$2:$I$592,"&gt;="&amp;$J$602,$G$2:$G$592,"&lt;="&amp;$J$603)</f>
        <v>0</v>
      </c>
      <c r="D633" s="2">
        <f>SUMIFS($H$2:$H$592,$A$2:$A$592,$A630,$B$2:$B$592,D632, $I$2:$I$592,"&gt;="&amp;$J$602,$G$2:$G$592,"&lt;="&amp;$J$603)</f>
        <v>0</v>
      </c>
      <c r="E633" s="9"/>
      <c r="F633" s="1">
        <f>SUM(A633:D633)</f>
        <v>0</v>
      </c>
      <c r="G633" s="1">
        <f>F633</f>
        <v>0</v>
      </c>
      <c r="H633" s="9"/>
      <c r="I633" s="24"/>
      <c r="J633" s="33"/>
    </row>
    <row r="634" spans="1:10">
      <c r="A634" s="9"/>
      <c r="B634" s="9"/>
      <c r="C634" s="9"/>
      <c r="D634" s="9"/>
      <c r="E634" s="9"/>
      <c r="F634" s="9"/>
      <c r="G634" s="9"/>
      <c r="H634" s="9"/>
      <c r="I634" s="24"/>
      <c r="J634" s="33"/>
    </row>
    <row r="635" spans="1:10">
      <c r="A635" s="51" t="s">
        <v>181</v>
      </c>
      <c r="B635" s="52"/>
      <c r="C635" s="52"/>
      <c r="D635" s="53"/>
      <c r="E635" s="7"/>
      <c r="F635" s="51" t="str">
        <f>A635</f>
        <v>PPB31405_deglyc_1K_2pQ</v>
      </c>
      <c r="G635" s="53"/>
      <c r="H635" s="7"/>
    </row>
    <row r="636" spans="1:10">
      <c r="A636" s="54" t="s">
        <v>2</v>
      </c>
      <c r="B636" s="52"/>
      <c r="C636" s="52"/>
      <c r="D636" s="53"/>
      <c r="E636" s="7"/>
      <c r="F636" s="6" t="s">
        <v>169</v>
      </c>
      <c r="G636" s="6" t="str">
        <f>F636</f>
        <v>Mean DAR w/ cut-off</v>
      </c>
      <c r="H636" s="24"/>
      <c r="I636" s="48"/>
      <c r="J636" s="49"/>
    </row>
    <row r="637" spans="1:10">
      <c r="A637" s="27">
        <v>0</v>
      </c>
      <c r="B637" s="27">
        <v>1</v>
      </c>
      <c r="C637" s="27">
        <v>2</v>
      </c>
      <c r="D637" s="27">
        <v>3</v>
      </c>
      <c r="E637" s="24"/>
      <c r="F637" s="12" t="e">
        <f>(A638*A637+B638*B637+C638*C637+D638*D637)/(A638+B638+C638+D638)</f>
        <v>#DIV/0!</v>
      </c>
      <c r="G637" s="34">
        <f>IFERROR(F637,0)</f>
        <v>0</v>
      </c>
      <c r="H637" s="32"/>
      <c r="I637" s="24"/>
      <c r="J637" s="33"/>
    </row>
    <row r="638" spans="1:10">
      <c r="A638" s="2">
        <f>SUMIFS($H$2:$H$592,$A$2:$A$592,$A635,$B$2:$B$592,A637, $I$2:$I$592,"&gt;="&amp;$J$602,$G$2:$G$592,"&lt;="&amp;$J$603)</f>
        <v>0</v>
      </c>
      <c r="B638" s="2">
        <f>SUMIFS($H$2:$H$592,$A$2:$A$592,$A635,$B$2:$B$592,B637, $I$2:$I$592,"&gt;="&amp;$J$602,$G$2:$G$592,"&lt;="&amp;$J$603)</f>
        <v>0</v>
      </c>
      <c r="C638" s="2">
        <f>SUMIFS($H$2:$H$592,$A$2:$A$592,$A635,$B$2:$B$592,C637, $I$2:$I$592,"&gt;="&amp;$J$602,$G$2:$G$592,"&lt;="&amp;$J$603)</f>
        <v>0</v>
      </c>
      <c r="D638" s="2">
        <f>SUMIFS($H$2:$H$592,$A$2:$A$592,$A635,$B$2:$B$592,D637, $I$2:$I$592,"&gt;="&amp;$J$602,$G$2:$G$592,"&lt;="&amp;$J$603)</f>
        <v>0</v>
      </c>
      <c r="E638" s="9"/>
      <c r="F638" s="1">
        <f>SUM(A638:D638)</f>
        <v>0</v>
      </c>
      <c r="G638" s="1">
        <f>F638</f>
        <v>0</v>
      </c>
      <c r="H638" s="9"/>
      <c r="I638" s="24"/>
      <c r="J638" s="33"/>
    </row>
    <row r="639" spans="1:10">
      <c r="A639" s="9"/>
      <c r="B639" s="9"/>
      <c r="C639" s="9"/>
      <c r="D639" s="9"/>
      <c r="E639" s="9"/>
      <c r="F639" s="9"/>
      <c r="G639" s="9"/>
      <c r="H639" s="9"/>
      <c r="I639" s="24"/>
      <c r="J639" s="33"/>
    </row>
    <row r="640" spans="1:10">
      <c r="A640" s="51" t="s">
        <v>182</v>
      </c>
      <c r="B640" s="52"/>
      <c r="C640" s="52"/>
      <c r="D640" s="53"/>
      <c r="E640" s="7"/>
      <c r="F640" s="51" t="str">
        <f>A640</f>
        <v>PPB31405_deglyc_2K_2pQ</v>
      </c>
      <c r="G640" s="53"/>
      <c r="H640" s="7"/>
    </row>
    <row r="641" spans="1:10">
      <c r="A641" s="54" t="s">
        <v>2</v>
      </c>
      <c r="B641" s="52"/>
      <c r="C641" s="52"/>
      <c r="D641" s="53"/>
      <c r="E641" s="7"/>
      <c r="F641" s="6" t="s">
        <v>169</v>
      </c>
      <c r="G641" s="6" t="str">
        <f>F641</f>
        <v>Mean DAR w/ cut-off</v>
      </c>
      <c r="H641" s="24"/>
      <c r="I641" s="48"/>
      <c r="J641" s="49"/>
    </row>
    <row r="642" spans="1:10">
      <c r="A642" s="27">
        <v>0</v>
      </c>
      <c r="B642" s="27">
        <v>1</v>
      </c>
      <c r="C642" s="27">
        <v>2</v>
      </c>
      <c r="D642" s="27">
        <v>3</v>
      </c>
      <c r="E642" s="24"/>
      <c r="F642" s="12" t="e">
        <f>(A643*A642+B643*B642+C643*C642+D643*D642)/(A643+B643+C643+D643)</f>
        <v>#DIV/0!</v>
      </c>
      <c r="G642" s="34">
        <f>IFERROR(F642,0)</f>
        <v>0</v>
      </c>
      <c r="H642" s="32"/>
      <c r="I642" s="24"/>
      <c r="J642" s="33"/>
    </row>
    <row r="643" spans="1:10">
      <c r="A643" s="2">
        <f>SUMIFS($H$2:$H$592,$A$2:$A$592,$A640,$B$2:$B$592,A642, $I$2:$I$592,"&gt;="&amp;$J$602,$G$2:$G$592,"&lt;="&amp;$J$603)</f>
        <v>0</v>
      </c>
      <c r="B643" s="2">
        <f>SUMIFS($H$2:$H$592,$A$2:$A$592,$A640,$B$2:$B$592,B642, $I$2:$I$592,"&gt;="&amp;$J$602,$G$2:$G$592,"&lt;="&amp;$J$603)</f>
        <v>0</v>
      </c>
      <c r="C643" s="2">
        <f>SUMIFS($H$2:$H$592,$A$2:$A$592,$A640,$B$2:$B$592,C642, $I$2:$I$592,"&gt;="&amp;$J$602,$G$2:$G$592,"&lt;="&amp;$J$603)</f>
        <v>0</v>
      </c>
      <c r="D643" s="2">
        <f>SUMIFS($H$2:$H$592,$A$2:$A$592,$A640,$B$2:$B$592,D642, $I$2:$I$592,"&gt;="&amp;$J$602,$G$2:$G$592,"&lt;="&amp;$J$603)</f>
        <v>0</v>
      </c>
      <c r="E643" s="9"/>
      <c r="F643" s="1">
        <f>SUM(A643:D643)</f>
        <v>0</v>
      </c>
      <c r="G643" s="1">
        <f>F643</f>
        <v>0</v>
      </c>
      <c r="H643" s="9"/>
      <c r="I643" s="24"/>
      <c r="J643" s="33"/>
    </row>
    <row r="644" spans="1:10">
      <c r="A644" s="9"/>
      <c r="B644" s="9"/>
      <c r="C644" s="9"/>
      <c r="D644" s="9"/>
      <c r="E644" s="9"/>
      <c r="F644" s="9"/>
      <c r="G644" s="9"/>
      <c r="H644" s="9"/>
      <c r="I644" s="24"/>
      <c r="J644" s="33"/>
    </row>
    <row r="645" spans="1:10">
      <c r="A645" s="51" t="s">
        <v>183</v>
      </c>
      <c r="B645" s="52"/>
      <c r="C645" s="52"/>
      <c r="D645" s="53"/>
      <c r="E645" s="7"/>
      <c r="F645" s="51" t="str">
        <f>A645</f>
        <v>PPB31405_deglyc_2pQ</v>
      </c>
      <c r="G645" s="53"/>
      <c r="H645" s="7"/>
    </row>
    <row r="646" spans="1:10">
      <c r="A646" s="54" t="s">
        <v>2</v>
      </c>
      <c r="B646" s="52"/>
      <c r="C646" s="52"/>
      <c r="D646" s="53"/>
      <c r="E646" s="7"/>
      <c r="F646" s="6" t="s">
        <v>169</v>
      </c>
      <c r="G646" s="6" t="str">
        <f>F646</f>
        <v>Mean DAR w/ cut-off</v>
      </c>
      <c r="H646" s="24"/>
      <c r="I646" s="48"/>
      <c r="J646" s="49"/>
    </row>
    <row r="647" spans="1:10">
      <c r="A647" s="27">
        <v>0</v>
      </c>
      <c r="B647" s="27">
        <v>1</v>
      </c>
      <c r="C647" s="27">
        <v>2</v>
      </c>
      <c r="D647" s="27">
        <v>3</v>
      </c>
      <c r="E647" s="24"/>
      <c r="F647" s="12" t="e">
        <f>(A648*A647+B648*B647+C648*C647+D648*D647)/(A648+B648+C648+D648)</f>
        <v>#DIV/0!</v>
      </c>
      <c r="G647" s="34">
        <f>IFERROR(F647,0)</f>
        <v>0</v>
      </c>
      <c r="H647" s="32"/>
      <c r="I647" s="24"/>
      <c r="J647" s="33"/>
    </row>
    <row r="648" spans="1:10">
      <c r="A648" s="2">
        <f>SUMIFS($H$2:$H$592,$A$2:$A$592,$A645,$B$2:$B$592,A647, $I$2:$I$592,"&gt;="&amp;$J$602,$G$2:$G$592,"&lt;="&amp;$J$603)</f>
        <v>0</v>
      </c>
      <c r="B648" s="2">
        <f>SUMIFS($H$2:$H$592,$A$2:$A$592,$A645,$B$2:$B$592,B647, $I$2:$I$592,"&gt;="&amp;$J$602,$G$2:$G$592,"&lt;="&amp;$J$603)</f>
        <v>0</v>
      </c>
      <c r="C648" s="2">
        <f>SUMIFS($H$2:$H$592,$A$2:$A$592,$A645,$B$2:$B$592,C647, $I$2:$I$592,"&gt;="&amp;$J$602,$G$2:$G$592,"&lt;="&amp;$J$603)</f>
        <v>0</v>
      </c>
      <c r="D648" s="2">
        <f>SUMIFS($H$2:$H$592,$A$2:$A$592,$A645,$B$2:$B$592,D647, $I$2:$I$592,"&gt;="&amp;$J$602,$G$2:$G$592,"&lt;="&amp;$J$603)</f>
        <v>0</v>
      </c>
      <c r="E648" s="9"/>
      <c r="F648" s="1">
        <f>SUM(A648:D648)</f>
        <v>0</v>
      </c>
      <c r="G648" s="1">
        <f>F648</f>
        <v>0</v>
      </c>
      <c r="H648" s="9"/>
      <c r="I648" s="24"/>
      <c r="J648" s="33"/>
    </row>
    <row r="649" spans="1:10">
      <c r="C649" s="25"/>
      <c r="D649" s="25"/>
    </row>
    <row r="650" spans="1:10">
      <c r="A650" s="9"/>
      <c r="B650" s="9"/>
      <c r="D650" s="9"/>
      <c r="F650" s="9"/>
      <c r="G650" s="9"/>
      <c r="H650" s="9"/>
    </row>
    <row r="651" spans="1:10">
      <c r="C651" s="1">
        <f>C603+C608+C613</f>
        <v>0</v>
      </c>
      <c r="G651" s="1">
        <f>G603+G608+G613+G618+G623+G628+G633+G638+G643+G648</f>
        <v>0</v>
      </c>
    </row>
  </sheetData>
  <autoFilter ref="A1:S471" xr:uid="{00000000-0009-0000-0000-000008000000}"/>
  <mergeCells count="38">
    <mergeCell ref="A601:D601"/>
    <mergeCell ref="A600:D600"/>
    <mergeCell ref="I636:J636"/>
    <mergeCell ref="F640:G640"/>
    <mergeCell ref="A621:D621"/>
    <mergeCell ref="F600:G600"/>
    <mergeCell ref="F610:G610"/>
    <mergeCell ref="A606:D606"/>
    <mergeCell ref="A625:D625"/>
    <mergeCell ref="F615:G615"/>
    <mergeCell ref="A610:D610"/>
    <mergeCell ref="F630:G630"/>
    <mergeCell ref="A611:D611"/>
    <mergeCell ref="A626:D626"/>
    <mergeCell ref="A646:D646"/>
    <mergeCell ref="I641:J641"/>
    <mergeCell ref="I626:J626"/>
    <mergeCell ref="F605:G605"/>
    <mergeCell ref="I616:J616"/>
    <mergeCell ref="A605:D605"/>
    <mergeCell ref="F620:G620"/>
    <mergeCell ref="A615:D615"/>
    <mergeCell ref="F645:G645"/>
    <mergeCell ref="I646:J646"/>
    <mergeCell ref="A620:D620"/>
    <mergeCell ref="I631:J631"/>
    <mergeCell ref="F635:G635"/>
    <mergeCell ref="I621:J621"/>
    <mergeCell ref="F625:G625"/>
    <mergeCell ref="A635:D635"/>
    <mergeCell ref="I611:J611"/>
    <mergeCell ref="A640:D640"/>
    <mergeCell ref="A636:D636"/>
    <mergeCell ref="A645:D645"/>
    <mergeCell ref="A630:D630"/>
    <mergeCell ref="A631:D631"/>
    <mergeCell ref="A616:D616"/>
    <mergeCell ref="A641:D641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01"/>
  <sheetViews>
    <sheetView workbookViewId="0">
      <selection activeCell="L32" sqref="L32"/>
    </sheetView>
  </sheetViews>
  <sheetFormatPr defaultColWidth="8.85546875" defaultRowHeight="15"/>
  <cols>
    <col min="1" max="1" width="8.85546875" style="26" customWidth="1"/>
    <col min="2" max="2" width="11.42578125" style="26" bestFit="1" customWidth="1"/>
    <col min="3" max="3" width="17.28515625" style="26" bestFit="1" customWidth="1"/>
    <col min="4" max="4" width="14.28515625" style="26" bestFit="1" customWidth="1"/>
    <col min="5" max="5" width="12.28515625" style="26" bestFit="1" customWidth="1"/>
    <col min="6" max="6" width="15.5703125" style="26" bestFit="1" customWidth="1"/>
    <col min="7" max="9" width="8.85546875" style="26" customWidth="1"/>
    <col min="10" max="10" width="9.5703125" style="26" bestFit="1" customWidth="1"/>
    <col min="11" max="11" width="18.28515625" style="26" bestFit="1" customWidth="1"/>
    <col min="12" max="12" width="11" style="26" bestFit="1" customWidth="1"/>
    <col min="13" max="13" width="9" style="26" customWidth="1"/>
    <col min="14" max="15" width="9.5703125" style="26" bestFit="1" customWidth="1"/>
    <col min="16" max="19" width="8.85546875" style="26" customWidth="1"/>
    <col min="20" max="16384" width="8.85546875" style="26"/>
  </cols>
  <sheetData>
    <row r="1" spans="1:16">
      <c r="A1" t="s">
        <v>377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I1" t="s">
        <v>383</v>
      </c>
    </row>
    <row r="2" spans="1:16">
      <c r="A2">
        <v>186</v>
      </c>
      <c r="B2" t="s">
        <v>384</v>
      </c>
      <c r="C2" t="s">
        <v>385</v>
      </c>
      <c r="D2">
        <v>203.08</v>
      </c>
      <c r="E2">
        <v>203.07900000000001</v>
      </c>
      <c r="F2" t="s">
        <v>386</v>
      </c>
      <c r="G2" t="s">
        <v>1</v>
      </c>
      <c r="H2">
        <f t="shared" ref="H2:H33" si="0">D2-$D$17</f>
        <v>-1242.2719</v>
      </c>
    </row>
    <row r="3" spans="1:16">
      <c r="A3">
        <v>187</v>
      </c>
      <c r="B3" t="s">
        <v>387</v>
      </c>
      <c r="C3" t="s">
        <v>388</v>
      </c>
      <c r="D3">
        <v>349.14</v>
      </c>
      <c r="E3">
        <v>349.137</v>
      </c>
      <c r="F3" t="s">
        <v>386</v>
      </c>
      <c r="G3" t="s">
        <v>1</v>
      </c>
      <c r="H3">
        <f t="shared" si="0"/>
        <v>-1096.2118999999998</v>
      </c>
    </row>
    <row r="4" spans="1:16">
      <c r="A4">
        <v>188</v>
      </c>
      <c r="B4" t="s">
        <v>389</v>
      </c>
      <c r="C4" t="s">
        <v>390</v>
      </c>
      <c r="D4">
        <v>892.32</v>
      </c>
      <c r="E4">
        <v>892.31700000000001</v>
      </c>
      <c r="F4" t="s">
        <v>386</v>
      </c>
      <c r="G4" t="s">
        <v>1</v>
      </c>
      <c r="H4">
        <f t="shared" si="0"/>
        <v>-553.03189999999984</v>
      </c>
      <c r="M4" t="s">
        <v>391</v>
      </c>
      <c r="N4" s="36">
        <v>128.1746</v>
      </c>
      <c r="O4" s="36"/>
    </row>
    <row r="5" spans="1:16">
      <c r="A5">
        <v>189</v>
      </c>
      <c r="B5" t="s">
        <v>392</v>
      </c>
      <c r="C5" t="s">
        <v>393</v>
      </c>
      <c r="D5">
        <v>1054.3699999999999</v>
      </c>
      <c r="E5">
        <v>1054.3699999999999</v>
      </c>
      <c r="F5" t="s">
        <v>386</v>
      </c>
      <c r="G5" t="s">
        <v>1</v>
      </c>
      <c r="H5">
        <f t="shared" si="0"/>
        <v>-390.9819</v>
      </c>
      <c r="M5" t="s">
        <v>394</v>
      </c>
      <c r="N5">
        <f>N4*2</f>
        <v>256.3492</v>
      </c>
    </row>
    <row r="6" spans="1:16">
      <c r="A6">
        <v>1</v>
      </c>
      <c r="B6" t="s">
        <v>395</v>
      </c>
      <c r="C6" t="s">
        <v>396</v>
      </c>
      <c r="D6">
        <v>1095.4000000000001</v>
      </c>
      <c r="E6">
        <v>1095.4000000000001</v>
      </c>
      <c r="F6" t="s">
        <v>386</v>
      </c>
      <c r="G6" t="s">
        <v>1</v>
      </c>
      <c r="H6">
        <f t="shared" si="0"/>
        <v>-349.9518999999998</v>
      </c>
      <c r="M6" t="s">
        <v>397</v>
      </c>
      <c r="N6" s="36">
        <f>N4+57.052</f>
        <v>185.22659999999999</v>
      </c>
    </row>
    <row r="7" spans="1:16">
      <c r="A7">
        <v>190</v>
      </c>
      <c r="B7" t="s">
        <v>398</v>
      </c>
      <c r="C7" t="s">
        <v>399</v>
      </c>
      <c r="D7">
        <v>1216.42</v>
      </c>
      <c r="E7">
        <v>1216.42</v>
      </c>
      <c r="F7" t="s">
        <v>386</v>
      </c>
      <c r="G7" t="s">
        <v>1</v>
      </c>
      <c r="H7">
        <f t="shared" si="0"/>
        <v>-228.93189999999981</v>
      </c>
      <c r="M7" t="s">
        <v>400</v>
      </c>
      <c r="N7">
        <f>N6*2</f>
        <v>370.45319999999998</v>
      </c>
    </row>
    <row r="8" spans="1:16">
      <c r="A8">
        <v>2</v>
      </c>
      <c r="B8" s="15" t="s">
        <v>401</v>
      </c>
      <c r="C8" t="s">
        <v>402</v>
      </c>
      <c r="D8" s="15">
        <v>1242.1567</v>
      </c>
      <c r="E8">
        <v>1241.45</v>
      </c>
      <c r="F8" t="s">
        <v>386</v>
      </c>
      <c r="G8" t="s">
        <v>1</v>
      </c>
      <c r="H8">
        <f t="shared" si="0"/>
        <v>-203.19519999999989</v>
      </c>
    </row>
    <row r="9" spans="1:16">
      <c r="A9">
        <v>3</v>
      </c>
      <c r="B9" t="s">
        <v>403</v>
      </c>
      <c r="C9" t="s">
        <v>404</v>
      </c>
      <c r="D9" s="15">
        <v>1258.1559999999999</v>
      </c>
      <c r="E9">
        <v>1257.45</v>
      </c>
      <c r="F9" t="s">
        <v>386</v>
      </c>
      <c r="G9" t="s">
        <v>1</v>
      </c>
      <c r="H9">
        <f t="shared" si="0"/>
        <v>-187.19589999999994</v>
      </c>
    </row>
    <row r="10" spans="1:16" ht="15.75" customHeight="1" thickBot="1">
      <c r="A10">
        <v>7</v>
      </c>
      <c r="B10" t="s">
        <v>405</v>
      </c>
      <c r="C10" t="s">
        <v>404</v>
      </c>
      <c r="D10" s="15">
        <v>1258.1559999999999</v>
      </c>
      <c r="E10">
        <v>1257.45</v>
      </c>
      <c r="F10" t="s">
        <v>386</v>
      </c>
      <c r="G10" t="s">
        <v>1</v>
      </c>
      <c r="H10">
        <f t="shared" si="0"/>
        <v>-187.19589999999994</v>
      </c>
      <c r="K10" s="16"/>
      <c r="L10" s="16"/>
      <c r="M10" s="17" t="s">
        <v>406</v>
      </c>
      <c r="N10" s="17" t="s">
        <v>407</v>
      </c>
    </row>
    <row r="11" spans="1:16" ht="15.75" customHeight="1" thickTop="1">
      <c r="A11">
        <v>21</v>
      </c>
      <c r="B11" s="15" t="s">
        <v>408</v>
      </c>
      <c r="C11" t="s">
        <v>409</v>
      </c>
      <c r="D11" s="15">
        <v>1299.2086999999999</v>
      </c>
      <c r="E11">
        <v>1298.48</v>
      </c>
      <c r="F11" t="s">
        <v>386</v>
      </c>
      <c r="G11" t="s">
        <v>1</v>
      </c>
      <c r="H11">
        <f t="shared" si="0"/>
        <v>-146.14319999999998</v>
      </c>
      <c r="J11" s="37"/>
      <c r="K11" t="s">
        <v>410</v>
      </c>
      <c r="L11" t="s">
        <v>411</v>
      </c>
      <c r="M11">
        <v>291.09539999999998</v>
      </c>
      <c r="N11">
        <v>291.26</v>
      </c>
    </row>
    <row r="12" spans="1:16">
      <c r="A12">
        <v>191</v>
      </c>
      <c r="B12" t="s">
        <v>412</v>
      </c>
      <c r="C12" t="s">
        <v>413</v>
      </c>
      <c r="D12" s="15">
        <v>1379.2460000000001</v>
      </c>
      <c r="E12">
        <v>1378.48</v>
      </c>
      <c r="F12" t="s">
        <v>386</v>
      </c>
      <c r="G12" t="s">
        <v>1</v>
      </c>
      <c r="H12">
        <f t="shared" si="0"/>
        <v>-66.105899999999792</v>
      </c>
    </row>
    <row r="13" spans="1:16">
      <c r="A13">
        <v>4</v>
      </c>
      <c r="B13" t="s">
        <v>414</v>
      </c>
      <c r="C13" t="s">
        <v>415</v>
      </c>
      <c r="D13">
        <v>1403.51</v>
      </c>
      <c r="E13">
        <v>1403.51</v>
      </c>
      <c r="F13" t="s">
        <v>386</v>
      </c>
      <c r="G13" t="s">
        <v>1</v>
      </c>
      <c r="H13">
        <f t="shared" si="0"/>
        <v>-41.841899999999896</v>
      </c>
      <c r="K13" t="s">
        <v>416</v>
      </c>
      <c r="L13" t="s">
        <v>417</v>
      </c>
      <c r="M13">
        <v>162.05279999999999</v>
      </c>
      <c r="N13">
        <v>162.13999999999999</v>
      </c>
    </row>
    <row r="14" spans="1:16">
      <c r="A14">
        <v>8</v>
      </c>
      <c r="B14" t="s">
        <v>418</v>
      </c>
      <c r="C14" t="s">
        <v>415</v>
      </c>
      <c r="D14">
        <v>1403.51</v>
      </c>
      <c r="E14">
        <v>1403.51</v>
      </c>
      <c r="F14" t="s">
        <v>386</v>
      </c>
      <c r="G14" t="s">
        <v>1</v>
      </c>
      <c r="H14">
        <f t="shared" si="0"/>
        <v>-41.841899999999896</v>
      </c>
    </row>
    <row r="15" spans="1:16">
      <c r="A15">
        <v>5</v>
      </c>
      <c r="B15" t="s">
        <v>419</v>
      </c>
      <c r="C15" t="s">
        <v>420</v>
      </c>
      <c r="D15">
        <v>1419.5</v>
      </c>
      <c r="E15">
        <v>1419.5</v>
      </c>
      <c r="F15" t="s">
        <v>386</v>
      </c>
      <c r="G15" t="s">
        <v>1</v>
      </c>
      <c r="H15">
        <f t="shared" si="0"/>
        <v>-25.851899999999887</v>
      </c>
      <c r="J15" s="37"/>
      <c r="K15" t="s">
        <v>421</v>
      </c>
      <c r="L15" t="s">
        <v>422</v>
      </c>
      <c r="M15">
        <v>203.07939999999999</v>
      </c>
      <c r="N15">
        <v>203.19</v>
      </c>
      <c r="P15" s="36"/>
    </row>
    <row r="16" spans="1:16">
      <c r="A16">
        <v>9</v>
      </c>
      <c r="B16" t="s">
        <v>423</v>
      </c>
      <c r="C16" t="s">
        <v>420</v>
      </c>
      <c r="D16">
        <v>1419.5</v>
      </c>
      <c r="E16">
        <v>1419.5</v>
      </c>
      <c r="F16" t="s">
        <v>386</v>
      </c>
      <c r="G16" t="s">
        <v>1</v>
      </c>
      <c r="H16">
        <f t="shared" si="0"/>
        <v>-25.851899999999887</v>
      </c>
    </row>
    <row r="17" spans="1:14">
      <c r="A17">
        <v>23</v>
      </c>
      <c r="B17" s="15" t="s">
        <v>424</v>
      </c>
      <c r="C17" t="s">
        <v>425</v>
      </c>
      <c r="D17" s="15">
        <v>1445.3518999999999</v>
      </c>
      <c r="E17">
        <v>1444.53</v>
      </c>
      <c r="F17" t="s">
        <v>386</v>
      </c>
      <c r="G17" t="s">
        <v>1</v>
      </c>
      <c r="H17">
        <f t="shared" si="0"/>
        <v>0</v>
      </c>
      <c r="K17" t="s">
        <v>426</v>
      </c>
      <c r="L17" t="s">
        <v>417</v>
      </c>
      <c r="M17">
        <v>162.05279999999999</v>
      </c>
      <c r="N17">
        <v>162.13999999999999</v>
      </c>
    </row>
    <row r="18" spans="1:14">
      <c r="A18">
        <v>25</v>
      </c>
      <c r="B18" t="s">
        <v>427</v>
      </c>
      <c r="C18" t="s">
        <v>428</v>
      </c>
      <c r="D18">
        <v>1460.53</v>
      </c>
      <c r="E18">
        <v>1460.53</v>
      </c>
      <c r="F18" t="s">
        <v>386</v>
      </c>
      <c r="G18" t="s">
        <v>1</v>
      </c>
      <c r="H18">
        <f t="shared" si="0"/>
        <v>15.178100000000086</v>
      </c>
    </row>
    <row r="19" spans="1:14" ht="15.75" customHeight="1" thickBot="1">
      <c r="A19">
        <v>28</v>
      </c>
      <c r="B19" s="15" t="s">
        <v>429</v>
      </c>
      <c r="C19" t="s">
        <v>428</v>
      </c>
      <c r="D19" s="15">
        <v>1461.3513</v>
      </c>
      <c r="E19">
        <v>1460.53</v>
      </c>
      <c r="F19" t="s">
        <v>386</v>
      </c>
      <c r="G19" t="s">
        <v>1</v>
      </c>
      <c r="H19">
        <f t="shared" si="0"/>
        <v>15.999400000000151</v>
      </c>
      <c r="K19" s="16" t="s">
        <v>82</v>
      </c>
      <c r="L19" s="16" t="s">
        <v>430</v>
      </c>
      <c r="M19" s="16">
        <v>146.05789999999999</v>
      </c>
      <c r="N19" s="16">
        <v>146.13999999999999</v>
      </c>
    </row>
    <row r="20" spans="1:14" ht="15.75" customHeight="1" thickTop="1">
      <c r="A20">
        <v>22</v>
      </c>
      <c r="B20" t="s">
        <v>431</v>
      </c>
      <c r="C20" t="s">
        <v>432</v>
      </c>
      <c r="D20">
        <v>1501.56</v>
      </c>
      <c r="E20">
        <v>1501.56</v>
      </c>
      <c r="F20" t="s">
        <v>386</v>
      </c>
      <c r="G20" t="s">
        <v>1</v>
      </c>
      <c r="H20">
        <f t="shared" si="0"/>
        <v>56.208100000000059</v>
      </c>
    </row>
    <row r="21" spans="1:14">
      <c r="A21">
        <v>76</v>
      </c>
      <c r="B21" t="s">
        <v>433</v>
      </c>
      <c r="C21" t="s">
        <v>432</v>
      </c>
      <c r="D21">
        <v>1501.56</v>
      </c>
      <c r="E21">
        <v>1501.56</v>
      </c>
      <c r="F21" t="s">
        <v>386</v>
      </c>
      <c r="G21" t="s">
        <v>1</v>
      </c>
      <c r="H21">
        <f t="shared" si="0"/>
        <v>56.208100000000059</v>
      </c>
    </row>
    <row r="22" spans="1:14">
      <c r="A22">
        <v>192</v>
      </c>
      <c r="B22" t="s">
        <v>434</v>
      </c>
      <c r="C22" t="s">
        <v>435</v>
      </c>
      <c r="D22">
        <v>1540.53</v>
      </c>
      <c r="E22">
        <v>1540.53</v>
      </c>
      <c r="F22" t="s">
        <v>386</v>
      </c>
      <c r="G22" t="s">
        <v>1</v>
      </c>
      <c r="H22">
        <f t="shared" si="0"/>
        <v>95.178100000000086</v>
      </c>
    </row>
    <row r="23" spans="1:14">
      <c r="A23">
        <v>13</v>
      </c>
      <c r="B23" t="s">
        <v>436</v>
      </c>
      <c r="C23" t="s">
        <v>437</v>
      </c>
      <c r="D23">
        <v>1548.54</v>
      </c>
      <c r="E23">
        <v>1548.54</v>
      </c>
      <c r="F23" t="s">
        <v>386</v>
      </c>
      <c r="G23" t="s">
        <v>1</v>
      </c>
      <c r="H23">
        <f t="shared" si="0"/>
        <v>103.18810000000008</v>
      </c>
      <c r="J23" s="37"/>
    </row>
    <row r="24" spans="1:14">
      <c r="A24">
        <v>19</v>
      </c>
      <c r="B24" t="s">
        <v>438</v>
      </c>
      <c r="C24" t="s">
        <v>439</v>
      </c>
      <c r="D24">
        <v>1564.54</v>
      </c>
      <c r="E24">
        <v>1564.54</v>
      </c>
      <c r="F24" t="s">
        <v>386</v>
      </c>
      <c r="G24" t="s">
        <v>1</v>
      </c>
      <c r="H24">
        <f t="shared" si="0"/>
        <v>119.18810000000008</v>
      </c>
    </row>
    <row r="25" spans="1:14">
      <c r="A25">
        <v>6</v>
      </c>
      <c r="B25" t="s">
        <v>440</v>
      </c>
      <c r="C25" t="s">
        <v>441</v>
      </c>
      <c r="D25">
        <v>1565.56</v>
      </c>
      <c r="E25">
        <v>1565.56</v>
      </c>
      <c r="F25" t="s">
        <v>386</v>
      </c>
      <c r="G25" t="s">
        <v>1</v>
      </c>
      <c r="H25">
        <f t="shared" si="0"/>
        <v>120.20810000000006</v>
      </c>
    </row>
    <row r="26" spans="1:14">
      <c r="A26">
        <v>10</v>
      </c>
      <c r="B26" t="s">
        <v>442</v>
      </c>
      <c r="C26" t="s">
        <v>441</v>
      </c>
      <c r="D26">
        <v>1565.56</v>
      </c>
      <c r="E26">
        <v>1565.56</v>
      </c>
      <c r="F26" t="s">
        <v>386</v>
      </c>
      <c r="G26" t="s">
        <v>1</v>
      </c>
      <c r="H26">
        <f t="shared" si="0"/>
        <v>120.20810000000006</v>
      </c>
      <c r="L26">
        <v>1.0079</v>
      </c>
      <c r="M26">
        <f>D17-L26</f>
        <v>1444.3439999999998</v>
      </c>
      <c r="N26" t="s">
        <v>424</v>
      </c>
    </row>
    <row r="27" spans="1:14">
      <c r="A27">
        <v>11</v>
      </c>
      <c r="B27" t="s">
        <v>443</v>
      </c>
      <c r="C27" t="s">
        <v>444</v>
      </c>
      <c r="D27">
        <v>1581.56</v>
      </c>
      <c r="E27">
        <v>1581.56</v>
      </c>
      <c r="F27" t="s">
        <v>386</v>
      </c>
      <c r="G27" t="s">
        <v>1</v>
      </c>
      <c r="H27">
        <f t="shared" si="0"/>
        <v>136.20810000000006</v>
      </c>
      <c r="M27">
        <f>D28-L26</f>
        <v>1606.4866</v>
      </c>
      <c r="N27" t="s">
        <v>445</v>
      </c>
    </row>
    <row r="28" spans="1:14">
      <c r="A28">
        <v>30</v>
      </c>
      <c r="B28" s="15" t="s">
        <v>445</v>
      </c>
      <c r="C28" t="s">
        <v>446</v>
      </c>
      <c r="D28" s="15">
        <v>1607.4945</v>
      </c>
      <c r="E28">
        <v>1606.59</v>
      </c>
      <c r="F28" t="s">
        <v>386</v>
      </c>
      <c r="G28" t="s">
        <v>1</v>
      </c>
      <c r="H28">
        <f t="shared" si="0"/>
        <v>162.14260000000013</v>
      </c>
      <c r="M28">
        <f>D11-L26</f>
        <v>1298.2007999999998</v>
      </c>
      <c r="N28" t="s">
        <v>408</v>
      </c>
    </row>
    <row r="29" spans="1:14">
      <c r="A29">
        <v>26</v>
      </c>
      <c r="B29" t="s">
        <v>447</v>
      </c>
      <c r="C29" t="s">
        <v>448</v>
      </c>
      <c r="D29">
        <v>1622.58</v>
      </c>
      <c r="E29">
        <v>1622.58</v>
      </c>
      <c r="F29" t="s">
        <v>386</v>
      </c>
      <c r="G29" t="s">
        <v>1</v>
      </c>
      <c r="H29">
        <f t="shared" si="0"/>
        <v>177.22810000000004</v>
      </c>
      <c r="M29">
        <f>D46-L26</f>
        <v>1767.6321</v>
      </c>
      <c r="N29" t="s">
        <v>449</v>
      </c>
    </row>
    <row r="30" spans="1:14">
      <c r="A30">
        <v>32</v>
      </c>
      <c r="B30" t="s">
        <v>450</v>
      </c>
      <c r="C30" t="s">
        <v>448</v>
      </c>
      <c r="D30">
        <v>1622.58</v>
      </c>
      <c r="E30">
        <v>1622.58</v>
      </c>
      <c r="F30" t="s">
        <v>386</v>
      </c>
      <c r="G30" t="s">
        <v>1</v>
      </c>
      <c r="H30">
        <f t="shared" si="0"/>
        <v>177.22810000000004</v>
      </c>
    </row>
    <row r="31" spans="1:14">
      <c r="A31">
        <v>36</v>
      </c>
      <c r="B31" t="s">
        <v>451</v>
      </c>
      <c r="C31" t="s">
        <v>448</v>
      </c>
      <c r="D31">
        <v>1622.58</v>
      </c>
      <c r="E31">
        <v>1622.58</v>
      </c>
      <c r="F31" t="s">
        <v>386</v>
      </c>
      <c r="G31" t="s">
        <v>1</v>
      </c>
      <c r="H31">
        <f t="shared" si="0"/>
        <v>177.22810000000004</v>
      </c>
      <c r="L31">
        <f>D28-D17</f>
        <v>162.14260000000013</v>
      </c>
    </row>
    <row r="32" spans="1:14">
      <c r="A32">
        <v>24</v>
      </c>
      <c r="B32" t="s">
        <v>452</v>
      </c>
      <c r="C32" t="s">
        <v>453</v>
      </c>
      <c r="D32">
        <v>1647.61</v>
      </c>
      <c r="E32">
        <v>1647.61</v>
      </c>
      <c r="F32" t="s">
        <v>386</v>
      </c>
      <c r="G32" t="s">
        <v>1</v>
      </c>
      <c r="H32">
        <f t="shared" si="0"/>
        <v>202.25810000000001</v>
      </c>
    </row>
    <row r="33" spans="1:8">
      <c r="A33">
        <v>77</v>
      </c>
      <c r="B33" t="s">
        <v>454</v>
      </c>
      <c r="C33" t="s">
        <v>453</v>
      </c>
      <c r="D33">
        <v>1647.61</v>
      </c>
      <c r="E33">
        <v>1647.61</v>
      </c>
      <c r="F33" t="s">
        <v>386</v>
      </c>
      <c r="G33" t="s">
        <v>1</v>
      </c>
      <c r="H33">
        <f t="shared" si="0"/>
        <v>202.25810000000001</v>
      </c>
    </row>
    <row r="34" spans="1:8">
      <c r="A34">
        <v>29</v>
      </c>
      <c r="B34" t="s">
        <v>455</v>
      </c>
      <c r="C34" t="s">
        <v>456</v>
      </c>
      <c r="D34">
        <v>1663.61</v>
      </c>
      <c r="E34">
        <v>1663.61</v>
      </c>
      <c r="F34" t="s">
        <v>386</v>
      </c>
      <c r="G34" t="s">
        <v>1</v>
      </c>
      <c r="H34">
        <f t="shared" ref="H34:H65" si="1">D34-$D$17</f>
        <v>218.25810000000001</v>
      </c>
    </row>
    <row r="35" spans="1:8">
      <c r="A35">
        <v>78</v>
      </c>
      <c r="B35" t="s">
        <v>457</v>
      </c>
      <c r="C35" t="s">
        <v>456</v>
      </c>
      <c r="D35">
        <v>1663.61</v>
      </c>
      <c r="E35">
        <v>1663.61</v>
      </c>
      <c r="F35" t="s">
        <v>386</v>
      </c>
      <c r="G35" t="s">
        <v>1</v>
      </c>
      <c r="H35">
        <f t="shared" si="1"/>
        <v>218.25810000000001</v>
      </c>
    </row>
    <row r="36" spans="1:8">
      <c r="A36">
        <v>14</v>
      </c>
      <c r="B36" t="s">
        <v>458</v>
      </c>
      <c r="C36" t="s">
        <v>459</v>
      </c>
      <c r="D36">
        <v>1694.6</v>
      </c>
      <c r="E36">
        <v>1694.6</v>
      </c>
      <c r="F36" t="s">
        <v>386</v>
      </c>
      <c r="G36" t="s">
        <v>1</v>
      </c>
      <c r="H36">
        <f t="shared" si="1"/>
        <v>249.24810000000002</v>
      </c>
    </row>
    <row r="37" spans="1:8">
      <c r="A37">
        <v>193</v>
      </c>
      <c r="B37" t="s">
        <v>460</v>
      </c>
      <c r="C37" t="s">
        <v>461</v>
      </c>
      <c r="D37">
        <v>1702.58</v>
      </c>
      <c r="E37">
        <v>1702.58</v>
      </c>
      <c r="F37" t="s">
        <v>386</v>
      </c>
      <c r="G37" t="s">
        <v>1</v>
      </c>
      <c r="H37">
        <f t="shared" si="1"/>
        <v>257.22810000000004</v>
      </c>
    </row>
    <row r="38" spans="1:8">
      <c r="A38">
        <v>116</v>
      </c>
      <c r="B38" t="s">
        <v>462</v>
      </c>
      <c r="C38" t="s">
        <v>463</v>
      </c>
      <c r="D38">
        <v>1704.63</v>
      </c>
      <c r="E38">
        <v>1704.63</v>
      </c>
      <c r="F38" t="s">
        <v>386</v>
      </c>
      <c r="G38" t="s">
        <v>1</v>
      </c>
      <c r="H38">
        <f t="shared" si="1"/>
        <v>259.27810000000022</v>
      </c>
    </row>
    <row r="39" spans="1:8">
      <c r="A39">
        <v>15</v>
      </c>
      <c r="B39" t="s">
        <v>464</v>
      </c>
      <c r="C39" t="s">
        <v>465</v>
      </c>
      <c r="D39">
        <v>1710.6</v>
      </c>
      <c r="E39">
        <v>1710.6</v>
      </c>
      <c r="F39" t="s">
        <v>386</v>
      </c>
      <c r="G39" t="s">
        <v>1</v>
      </c>
      <c r="H39">
        <f t="shared" si="1"/>
        <v>265.24810000000002</v>
      </c>
    </row>
    <row r="40" spans="1:8">
      <c r="A40">
        <v>20</v>
      </c>
      <c r="B40" t="s">
        <v>466</v>
      </c>
      <c r="C40" t="s">
        <v>465</v>
      </c>
      <c r="D40">
        <v>1710.6</v>
      </c>
      <c r="E40">
        <v>1710.6</v>
      </c>
      <c r="F40" t="s">
        <v>386</v>
      </c>
      <c r="G40" t="s">
        <v>1</v>
      </c>
      <c r="H40">
        <f t="shared" si="1"/>
        <v>265.24810000000002</v>
      </c>
    </row>
    <row r="41" spans="1:8">
      <c r="A41">
        <v>12</v>
      </c>
      <c r="B41" s="15" t="s">
        <v>467</v>
      </c>
      <c r="C41" t="s">
        <v>468</v>
      </c>
      <c r="D41" s="15">
        <v>1727.61</v>
      </c>
      <c r="E41">
        <v>1727.61</v>
      </c>
      <c r="F41" t="s">
        <v>386</v>
      </c>
      <c r="G41" t="s">
        <v>1</v>
      </c>
      <c r="H41">
        <f t="shared" si="1"/>
        <v>282.25810000000001</v>
      </c>
    </row>
    <row r="42" spans="1:8">
      <c r="A42">
        <v>44</v>
      </c>
      <c r="B42" t="s">
        <v>469</v>
      </c>
      <c r="C42" t="s">
        <v>470</v>
      </c>
      <c r="D42">
        <v>1751.62</v>
      </c>
      <c r="E42">
        <v>1751.62</v>
      </c>
      <c r="F42" t="s">
        <v>386</v>
      </c>
      <c r="G42" t="s">
        <v>1</v>
      </c>
      <c r="H42">
        <f t="shared" si="1"/>
        <v>306.2681</v>
      </c>
    </row>
    <row r="43" spans="1:8">
      <c r="A43">
        <v>68</v>
      </c>
      <c r="B43" t="s">
        <v>471</v>
      </c>
      <c r="C43" t="s">
        <v>472</v>
      </c>
      <c r="D43">
        <v>1767.62</v>
      </c>
      <c r="E43">
        <v>1767.62</v>
      </c>
      <c r="F43" t="s">
        <v>386</v>
      </c>
      <c r="G43" t="s">
        <v>1</v>
      </c>
      <c r="H43">
        <f t="shared" si="1"/>
        <v>322.2681</v>
      </c>
    </row>
    <row r="44" spans="1:8">
      <c r="A44">
        <v>27</v>
      </c>
      <c r="B44" t="s">
        <v>473</v>
      </c>
      <c r="C44" t="s">
        <v>474</v>
      </c>
      <c r="D44">
        <v>1768.64</v>
      </c>
      <c r="E44">
        <v>1768.64</v>
      </c>
      <c r="F44" t="s">
        <v>386</v>
      </c>
      <c r="G44" t="s">
        <v>1</v>
      </c>
      <c r="H44">
        <f t="shared" si="1"/>
        <v>323.28810000000021</v>
      </c>
    </row>
    <row r="45" spans="1:8">
      <c r="A45">
        <v>33</v>
      </c>
      <c r="B45" t="s">
        <v>475</v>
      </c>
      <c r="C45" t="s">
        <v>474</v>
      </c>
      <c r="D45">
        <v>1768.64</v>
      </c>
      <c r="E45">
        <v>1768.64</v>
      </c>
      <c r="F45" t="s">
        <v>386</v>
      </c>
      <c r="G45" t="s">
        <v>1</v>
      </c>
      <c r="H45">
        <f t="shared" si="1"/>
        <v>323.28810000000021</v>
      </c>
    </row>
    <row r="46" spans="1:8">
      <c r="A46">
        <v>38</v>
      </c>
      <c r="B46" t="s">
        <v>449</v>
      </c>
      <c r="C46" t="s">
        <v>474</v>
      </c>
      <c r="D46">
        <v>1768.64</v>
      </c>
      <c r="E46">
        <v>1768.64</v>
      </c>
      <c r="F46" t="s">
        <v>386</v>
      </c>
      <c r="G46" t="s">
        <v>1</v>
      </c>
      <c r="H46">
        <f t="shared" si="1"/>
        <v>323.28810000000021</v>
      </c>
    </row>
    <row r="47" spans="1:8">
      <c r="A47">
        <v>34</v>
      </c>
      <c r="B47" t="s">
        <v>476</v>
      </c>
      <c r="C47" t="s">
        <v>477</v>
      </c>
      <c r="D47">
        <v>1784.63</v>
      </c>
      <c r="E47">
        <v>1784.63</v>
      </c>
      <c r="F47" t="s">
        <v>386</v>
      </c>
      <c r="G47" t="s">
        <v>1</v>
      </c>
      <c r="H47">
        <f t="shared" si="1"/>
        <v>339.27810000000022</v>
      </c>
    </row>
    <row r="48" spans="1:8">
      <c r="A48">
        <v>40</v>
      </c>
      <c r="B48" t="s">
        <v>478</v>
      </c>
      <c r="C48" t="s">
        <v>477</v>
      </c>
      <c r="D48">
        <v>1784.63</v>
      </c>
      <c r="E48">
        <v>1784.63</v>
      </c>
      <c r="F48" t="s">
        <v>386</v>
      </c>
      <c r="G48" t="s">
        <v>1</v>
      </c>
      <c r="H48">
        <f t="shared" si="1"/>
        <v>339.27810000000022</v>
      </c>
    </row>
    <row r="49" spans="1:8">
      <c r="A49">
        <v>31</v>
      </c>
      <c r="B49" t="s">
        <v>479</v>
      </c>
      <c r="C49" t="s">
        <v>480</v>
      </c>
      <c r="D49">
        <v>1809.67</v>
      </c>
      <c r="E49">
        <v>1809.67</v>
      </c>
      <c r="F49" t="s">
        <v>386</v>
      </c>
      <c r="G49" t="s">
        <v>1</v>
      </c>
      <c r="H49">
        <f t="shared" si="1"/>
        <v>364.31810000000019</v>
      </c>
    </row>
    <row r="50" spans="1:8">
      <c r="A50">
        <v>79</v>
      </c>
      <c r="B50" t="s">
        <v>481</v>
      </c>
      <c r="C50" t="s">
        <v>480</v>
      </c>
      <c r="D50">
        <v>1809.67</v>
      </c>
      <c r="E50">
        <v>1809.67</v>
      </c>
      <c r="F50" t="s">
        <v>386</v>
      </c>
      <c r="G50" t="s">
        <v>1</v>
      </c>
      <c r="H50">
        <f t="shared" si="1"/>
        <v>364.31810000000019</v>
      </c>
    </row>
    <row r="51" spans="1:8">
      <c r="A51">
        <v>37</v>
      </c>
      <c r="B51" t="s">
        <v>482</v>
      </c>
      <c r="C51" t="s">
        <v>483</v>
      </c>
      <c r="D51">
        <v>1825.66</v>
      </c>
      <c r="E51">
        <v>1825.66</v>
      </c>
      <c r="F51" t="s">
        <v>386</v>
      </c>
      <c r="G51" t="s">
        <v>1</v>
      </c>
      <c r="H51">
        <f t="shared" si="1"/>
        <v>380.30810000000019</v>
      </c>
    </row>
    <row r="52" spans="1:8">
      <c r="A52">
        <v>80</v>
      </c>
      <c r="B52" t="s">
        <v>484</v>
      </c>
      <c r="C52" t="s">
        <v>483</v>
      </c>
      <c r="D52">
        <v>1825.66</v>
      </c>
      <c r="E52">
        <v>1825.66</v>
      </c>
      <c r="F52" t="s">
        <v>386</v>
      </c>
      <c r="G52" t="s">
        <v>1</v>
      </c>
      <c r="H52">
        <f t="shared" si="1"/>
        <v>380.30810000000019</v>
      </c>
    </row>
    <row r="53" spans="1:8">
      <c r="A53">
        <v>117</v>
      </c>
      <c r="B53" t="s">
        <v>485</v>
      </c>
      <c r="C53" t="s">
        <v>486</v>
      </c>
      <c r="D53">
        <v>1850.69</v>
      </c>
      <c r="E53">
        <v>1850.69</v>
      </c>
      <c r="F53" t="s">
        <v>386</v>
      </c>
      <c r="G53" t="s">
        <v>1</v>
      </c>
      <c r="H53">
        <f t="shared" si="1"/>
        <v>405.33810000000017</v>
      </c>
    </row>
    <row r="54" spans="1:8">
      <c r="A54">
        <v>16</v>
      </c>
      <c r="B54" t="s">
        <v>487</v>
      </c>
      <c r="C54" t="s">
        <v>488</v>
      </c>
      <c r="D54">
        <v>1856.66</v>
      </c>
      <c r="E54">
        <v>1856.66</v>
      </c>
      <c r="F54" t="s">
        <v>386</v>
      </c>
      <c r="G54" t="s">
        <v>1</v>
      </c>
      <c r="H54">
        <f t="shared" si="1"/>
        <v>411.30810000000019</v>
      </c>
    </row>
    <row r="55" spans="1:8">
      <c r="A55">
        <v>194</v>
      </c>
      <c r="B55" t="s">
        <v>489</v>
      </c>
      <c r="C55" t="s">
        <v>490</v>
      </c>
      <c r="D55">
        <v>1864.63</v>
      </c>
      <c r="E55">
        <v>1864.63</v>
      </c>
      <c r="F55" t="s">
        <v>386</v>
      </c>
      <c r="G55" t="s">
        <v>1</v>
      </c>
      <c r="H55">
        <f t="shared" si="1"/>
        <v>419.27810000000022</v>
      </c>
    </row>
    <row r="56" spans="1:8">
      <c r="A56">
        <v>118</v>
      </c>
      <c r="B56" t="s">
        <v>491</v>
      </c>
      <c r="C56" t="s">
        <v>492</v>
      </c>
      <c r="D56">
        <v>1866.69</v>
      </c>
      <c r="E56">
        <v>1866.69</v>
      </c>
      <c r="F56" t="s">
        <v>386</v>
      </c>
      <c r="G56" t="s">
        <v>1</v>
      </c>
      <c r="H56">
        <f t="shared" si="1"/>
        <v>421.33810000000017</v>
      </c>
    </row>
    <row r="57" spans="1:8">
      <c r="A57">
        <v>17</v>
      </c>
      <c r="B57" t="s">
        <v>493</v>
      </c>
      <c r="C57" t="s">
        <v>494</v>
      </c>
      <c r="D57">
        <v>1872.65</v>
      </c>
      <c r="E57">
        <v>1872.65</v>
      </c>
      <c r="F57" t="s">
        <v>386</v>
      </c>
      <c r="G57" t="s">
        <v>1</v>
      </c>
      <c r="H57">
        <f t="shared" si="1"/>
        <v>427.2981000000002</v>
      </c>
    </row>
    <row r="58" spans="1:8">
      <c r="A58">
        <v>46</v>
      </c>
      <c r="B58" t="s">
        <v>495</v>
      </c>
      <c r="C58" t="s">
        <v>496</v>
      </c>
      <c r="D58">
        <v>1897.68</v>
      </c>
      <c r="E58">
        <v>1897.68</v>
      </c>
      <c r="F58" t="s">
        <v>386</v>
      </c>
      <c r="G58" t="s">
        <v>1</v>
      </c>
      <c r="H58">
        <f t="shared" si="1"/>
        <v>452.32810000000018</v>
      </c>
    </row>
    <row r="59" spans="1:8">
      <c r="A59">
        <v>48</v>
      </c>
      <c r="B59" t="s">
        <v>497</v>
      </c>
      <c r="C59" t="s">
        <v>498</v>
      </c>
      <c r="D59">
        <v>1913.68</v>
      </c>
      <c r="E59">
        <v>1913.68</v>
      </c>
      <c r="F59" t="s">
        <v>386</v>
      </c>
      <c r="G59" t="s">
        <v>1</v>
      </c>
      <c r="H59">
        <f t="shared" si="1"/>
        <v>468.32810000000018</v>
      </c>
    </row>
    <row r="60" spans="1:8">
      <c r="A60">
        <v>52</v>
      </c>
      <c r="B60" t="s">
        <v>499</v>
      </c>
      <c r="C60" t="s">
        <v>498</v>
      </c>
      <c r="D60">
        <v>1913.68</v>
      </c>
      <c r="E60">
        <v>1913.68</v>
      </c>
      <c r="F60" t="s">
        <v>386</v>
      </c>
      <c r="G60" t="s">
        <v>1</v>
      </c>
      <c r="H60">
        <f t="shared" si="1"/>
        <v>468.32810000000018</v>
      </c>
    </row>
    <row r="61" spans="1:8">
      <c r="A61">
        <v>69</v>
      </c>
      <c r="B61" t="s">
        <v>500</v>
      </c>
      <c r="C61" t="s">
        <v>498</v>
      </c>
      <c r="D61">
        <v>1913.68</v>
      </c>
      <c r="E61">
        <v>1913.68</v>
      </c>
      <c r="F61" t="s">
        <v>386</v>
      </c>
      <c r="G61" t="s">
        <v>1</v>
      </c>
      <c r="H61">
        <f t="shared" si="1"/>
        <v>468.32810000000018</v>
      </c>
    </row>
    <row r="62" spans="1:8">
      <c r="A62">
        <v>70</v>
      </c>
      <c r="B62" t="s">
        <v>501</v>
      </c>
      <c r="C62" t="s">
        <v>502</v>
      </c>
      <c r="D62">
        <v>1929.67</v>
      </c>
      <c r="E62">
        <v>1929.67</v>
      </c>
      <c r="F62" t="s">
        <v>386</v>
      </c>
      <c r="G62" t="s">
        <v>1</v>
      </c>
      <c r="H62">
        <f t="shared" si="1"/>
        <v>484.31810000000019</v>
      </c>
    </row>
    <row r="63" spans="1:8">
      <c r="A63">
        <v>35</v>
      </c>
      <c r="B63" t="s">
        <v>503</v>
      </c>
      <c r="C63" t="s">
        <v>504</v>
      </c>
      <c r="D63">
        <v>1930.69</v>
      </c>
      <c r="E63">
        <v>1930.69</v>
      </c>
      <c r="F63" t="s">
        <v>386</v>
      </c>
      <c r="G63" t="s">
        <v>1</v>
      </c>
      <c r="H63">
        <f t="shared" si="1"/>
        <v>485.33810000000017</v>
      </c>
    </row>
    <row r="64" spans="1:8">
      <c r="A64">
        <v>41</v>
      </c>
      <c r="B64" t="s">
        <v>505</v>
      </c>
      <c r="C64" t="s">
        <v>504</v>
      </c>
      <c r="D64">
        <v>1930.69</v>
      </c>
      <c r="E64">
        <v>1930.69</v>
      </c>
      <c r="F64" t="s">
        <v>386</v>
      </c>
      <c r="G64" t="s">
        <v>1</v>
      </c>
      <c r="H64">
        <f t="shared" si="1"/>
        <v>485.33810000000017</v>
      </c>
    </row>
    <row r="65" spans="1:8">
      <c r="A65">
        <v>42</v>
      </c>
      <c r="B65" t="s">
        <v>506</v>
      </c>
      <c r="C65" t="s">
        <v>507</v>
      </c>
      <c r="D65">
        <v>1946.69</v>
      </c>
      <c r="E65">
        <v>1946.69</v>
      </c>
      <c r="F65" t="s">
        <v>386</v>
      </c>
      <c r="G65" t="s">
        <v>1</v>
      </c>
      <c r="H65">
        <f t="shared" si="1"/>
        <v>501.33810000000017</v>
      </c>
    </row>
    <row r="66" spans="1:8">
      <c r="A66">
        <v>45</v>
      </c>
      <c r="B66" t="s">
        <v>508</v>
      </c>
      <c r="C66" t="s">
        <v>509</v>
      </c>
      <c r="D66">
        <v>1954.7</v>
      </c>
      <c r="E66">
        <v>1954.7</v>
      </c>
      <c r="F66" t="s">
        <v>386</v>
      </c>
      <c r="G66" t="s">
        <v>1</v>
      </c>
      <c r="H66">
        <f t="shared" ref="H66:H97" si="2">D66-$D$17</f>
        <v>509.34810000000016</v>
      </c>
    </row>
    <row r="67" spans="1:8">
      <c r="A67">
        <v>84</v>
      </c>
      <c r="B67" t="s">
        <v>510</v>
      </c>
      <c r="C67" t="s">
        <v>509</v>
      </c>
      <c r="D67">
        <v>1954.7</v>
      </c>
      <c r="E67">
        <v>1954.7</v>
      </c>
      <c r="F67" t="s">
        <v>386</v>
      </c>
      <c r="G67" t="s">
        <v>1</v>
      </c>
      <c r="H67">
        <f t="shared" si="2"/>
        <v>509.34810000000016</v>
      </c>
    </row>
    <row r="68" spans="1:8">
      <c r="A68">
        <v>96</v>
      </c>
      <c r="B68" t="s">
        <v>511</v>
      </c>
      <c r="C68" t="s">
        <v>512</v>
      </c>
      <c r="D68">
        <v>1970.7</v>
      </c>
      <c r="E68">
        <v>1970.7</v>
      </c>
      <c r="F68" t="s">
        <v>386</v>
      </c>
      <c r="G68" t="s">
        <v>1</v>
      </c>
      <c r="H68">
        <f t="shared" si="2"/>
        <v>525.34810000000016</v>
      </c>
    </row>
    <row r="69" spans="1:8">
      <c r="A69">
        <v>39</v>
      </c>
      <c r="B69" t="s">
        <v>513</v>
      </c>
      <c r="C69" t="s">
        <v>514</v>
      </c>
      <c r="D69">
        <v>1971.72</v>
      </c>
      <c r="E69">
        <v>1971.72</v>
      </c>
      <c r="F69" t="s">
        <v>386</v>
      </c>
      <c r="G69" t="s">
        <v>1</v>
      </c>
      <c r="H69">
        <f t="shared" si="2"/>
        <v>526.36810000000014</v>
      </c>
    </row>
    <row r="70" spans="1:8">
      <c r="A70">
        <v>81</v>
      </c>
      <c r="B70" t="s">
        <v>515</v>
      </c>
      <c r="C70" t="s">
        <v>514</v>
      </c>
      <c r="D70">
        <v>1971.72</v>
      </c>
      <c r="E70">
        <v>1971.72</v>
      </c>
      <c r="F70" t="s">
        <v>386</v>
      </c>
      <c r="G70" t="s">
        <v>1</v>
      </c>
      <c r="H70">
        <f t="shared" si="2"/>
        <v>526.36810000000014</v>
      </c>
    </row>
    <row r="71" spans="1:8">
      <c r="A71">
        <v>82</v>
      </c>
      <c r="B71" t="s">
        <v>516</v>
      </c>
      <c r="C71" t="s">
        <v>517</v>
      </c>
      <c r="D71">
        <v>1987.71</v>
      </c>
      <c r="E71">
        <v>1987.71</v>
      </c>
      <c r="F71" t="s">
        <v>386</v>
      </c>
      <c r="G71" t="s">
        <v>1</v>
      </c>
      <c r="H71">
        <f t="shared" si="2"/>
        <v>542.35810000000015</v>
      </c>
    </row>
    <row r="72" spans="1:8">
      <c r="A72">
        <v>119</v>
      </c>
      <c r="B72" t="s">
        <v>518</v>
      </c>
      <c r="C72" t="s">
        <v>519</v>
      </c>
      <c r="D72">
        <v>2012.75</v>
      </c>
      <c r="E72">
        <v>2012.75</v>
      </c>
      <c r="F72" t="s">
        <v>386</v>
      </c>
      <c r="G72" t="s">
        <v>1</v>
      </c>
      <c r="H72">
        <f t="shared" si="2"/>
        <v>567.39810000000011</v>
      </c>
    </row>
    <row r="73" spans="1:8">
      <c r="A73">
        <v>18</v>
      </c>
      <c r="B73" t="s">
        <v>520</v>
      </c>
      <c r="C73" t="s">
        <v>521</v>
      </c>
      <c r="D73">
        <v>2018.71</v>
      </c>
      <c r="E73">
        <v>2018.71</v>
      </c>
      <c r="F73" t="s">
        <v>386</v>
      </c>
      <c r="G73" t="s">
        <v>1</v>
      </c>
      <c r="H73">
        <f t="shared" si="2"/>
        <v>573.35810000000015</v>
      </c>
    </row>
    <row r="74" spans="1:8">
      <c r="A74">
        <v>120</v>
      </c>
      <c r="B74" t="s">
        <v>522</v>
      </c>
      <c r="C74" t="s">
        <v>523</v>
      </c>
      <c r="D74">
        <v>2028.74</v>
      </c>
      <c r="E74">
        <v>2028.74</v>
      </c>
      <c r="F74" t="s">
        <v>386</v>
      </c>
      <c r="G74" t="s">
        <v>1</v>
      </c>
      <c r="H74">
        <f t="shared" si="2"/>
        <v>583.38810000000012</v>
      </c>
    </row>
    <row r="75" spans="1:8">
      <c r="A75">
        <v>49</v>
      </c>
      <c r="B75" t="s">
        <v>524</v>
      </c>
      <c r="C75" t="s">
        <v>525</v>
      </c>
      <c r="D75">
        <v>2059.73</v>
      </c>
      <c r="E75">
        <v>2059.73</v>
      </c>
      <c r="F75" t="s">
        <v>386</v>
      </c>
      <c r="G75" t="s">
        <v>1</v>
      </c>
      <c r="H75">
        <f t="shared" si="2"/>
        <v>614.37810000000013</v>
      </c>
    </row>
    <row r="76" spans="1:8">
      <c r="A76">
        <v>54</v>
      </c>
      <c r="B76" t="s">
        <v>526</v>
      </c>
      <c r="C76" t="s">
        <v>525</v>
      </c>
      <c r="D76">
        <v>2059.73</v>
      </c>
      <c r="E76">
        <v>2059.73</v>
      </c>
      <c r="F76" t="s">
        <v>386</v>
      </c>
      <c r="G76" t="s">
        <v>1</v>
      </c>
      <c r="H76">
        <f t="shared" si="2"/>
        <v>614.37810000000013</v>
      </c>
    </row>
    <row r="77" spans="1:8">
      <c r="A77">
        <v>50</v>
      </c>
      <c r="B77" t="s">
        <v>527</v>
      </c>
      <c r="C77" t="s">
        <v>528</v>
      </c>
      <c r="D77">
        <v>2075.73</v>
      </c>
      <c r="E77">
        <v>2075.73</v>
      </c>
      <c r="F77" t="s">
        <v>386</v>
      </c>
      <c r="G77" t="s">
        <v>1</v>
      </c>
      <c r="H77">
        <f t="shared" si="2"/>
        <v>630.37810000000013</v>
      </c>
    </row>
    <row r="78" spans="1:8">
      <c r="A78">
        <v>56</v>
      </c>
      <c r="B78" t="s">
        <v>529</v>
      </c>
      <c r="C78" t="s">
        <v>528</v>
      </c>
      <c r="D78">
        <v>2075.73</v>
      </c>
      <c r="E78">
        <v>2075.73</v>
      </c>
      <c r="F78" t="s">
        <v>386</v>
      </c>
      <c r="G78" t="s">
        <v>1</v>
      </c>
      <c r="H78">
        <f t="shared" si="2"/>
        <v>630.37810000000013</v>
      </c>
    </row>
    <row r="79" spans="1:8">
      <c r="A79">
        <v>71</v>
      </c>
      <c r="B79" t="s">
        <v>530</v>
      </c>
      <c r="C79" t="s">
        <v>528</v>
      </c>
      <c r="D79">
        <v>2075.73</v>
      </c>
      <c r="E79">
        <v>2075.73</v>
      </c>
      <c r="F79" t="s">
        <v>386</v>
      </c>
      <c r="G79" t="s">
        <v>1</v>
      </c>
      <c r="H79">
        <f t="shared" si="2"/>
        <v>630.37810000000013</v>
      </c>
    </row>
    <row r="80" spans="1:8">
      <c r="A80">
        <v>43</v>
      </c>
      <c r="B80" t="s">
        <v>531</v>
      </c>
      <c r="C80" t="s">
        <v>532</v>
      </c>
      <c r="D80">
        <v>2092.75</v>
      </c>
      <c r="E80">
        <v>2092.75</v>
      </c>
      <c r="F80" t="s">
        <v>386</v>
      </c>
      <c r="G80" t="s">
        <v>1</v>
      </c>
      <c r="H80">
        <f t="shared" si="2"/>
        <v>647.39810000000011</v>
      </c>
    </row>
    <row r="81" spans="1:8">
      <c r="A81">
        <v>47</v>
      </c>
      <c r="B81" t="s">
        <v>533</v>
      </c>
      <c r="C81" t="s">
        <v>534</v>
      </c>
      <c r="D81">
        <v>2100.7600000000002</v>
      </c>
      <c r="E81">
        <v>2100.7600000000002</v>
      </c>
      <c r="F81" t="s">
        <v>386</v>
      </c>
      <c r="G81" t="s">
        <v>1</v>
      </c>
      <c r="H81">
        <f t="shared" si="2"/>
        <v>655.40810000000033</v>
      </c>
    </row>
    <row r="82" spans="1:8">
      <c r="A82">
        <v>85</v>
      </c>
      <c r="B82" t="s">
        <v>535</v>
      </c>
      <c r="C82" t="s">
        <v>534</v>
      </c>
      <c r="D82">
        <v>2100.7600000000002</v>
      </c>
      <c r="E82">
        <v>2100.7600000000002</v>
      </c>
      <c r="F82" t="s">
        <v>386</v>
      </c>
      <c r="G82" t="s">
        <v>1</v>
      </c>
      <c r="H82">
        <f t="shared" si="2"/>
        <v>655.40810000000033</v>
      </c>
    </row>
    <row r="83" spans="1:8">
      <c r="A83">
        <v>53</v>
      </c>
      <c r="B83" t="s">
        <v>536</v>
      </c>
      <c r="C83" t="s">
        <v>537</v>
      </c>
      <c r="D83">
        <v>2116.7600000000002</v>
      </c>
      <c r="E83">
        <v>2116.7600000000002</v>
      </c>
      <c r="F83" t="s">
        <v>386</v>
      </c>
      <c r="G83" t="s">
        <v>1</v>
      </c>
      <c r="H83">
        <f t="shared" si="2"/>
        <v>671.40810000000033</v>
      </c>
    </row>
    <row r="84" spans="1:8">
      <c r="A84">
        <v>86</v>
      </c>
      <c r="B84" t="s">
        <v>538</v>
      </c>
      <c r="C84" t="s">
        <v>537</v>
      </c>
      <c r="D84">
        <v>2116.7600000000002</v>
      </c>
      <c r="E84">
        <v>2116.7600000000002</v>
      </c>
      <c r="F84" t="s">
        <v>386</v>
      </c>
      <c r="G84" t="s">
        <v>1</v>
      </c>
      <c r="H84">
        <f t="shared" si="2"/>
        <v>671.40810000000033</v>
      </c>
    </row>
    <row r="85" spans="1:8">
      <c r="A85">
        <v>97</v>
      </c>
      <c r="B85" t="s">
        <v>539</v>
      </c>
      <c r="C85" t="s">
        <v>537</v>
      </c>
      <c r="D85">
        <v>2116.7600000000002</v>
      </c>
      <c r="E85">
        <v>2116.7600000000002</v>
      </c>
      <c r="F85" t="s">
        <v>386</v>
      </c>
      <c r="G85" t="s">
        <v>1</v>
      </c>
      <c r="H85">
        <f t="shared" si="2"/>
        <v>671.40810000000033</v>
      </c>
    </row>
    <row r="86" spans="1:8">
      <c r="A86">
        <v>98</v>
      </c>
      <c r="B86" t="s">
        <v>540</v>
      </c>
      <c r="C86" t="s">
        <v>541</v>
      </c>
      <c r="D86">
        <v>2132.75</v>
      </c>
      <c r="E86">
        <v>2132.75</v>
      </c>
      <c r="F86" t="s">
        <v>386</v>
      </c>
      <c r="G86" t="s">
        <v>1</v>
      </c>
      <c r="H86">
        <f t="shared" si="2"/>
        <v>687.39810000000011</v>
      </c>
    </row>
    <row r="87" spans="1:8">
      <c r="A87">
        <v>83</v>
      </c>
      <c r="B87" t="s">
        <v>542</v>
      </c>
      <c r="C87" t="s">
        <v>543</v>
      </c>
      <c r="D87">
        <v>2133.77</v>
      </c>
      <c r="E87">
        <v>2133.77</v>
      </c>
      <c r="F87" t="s">
        <v>386</v>
      </c>
      <c r="G87" t="s">
        <v>1</v>
      </c>
      <c r="H87">
        <f t="shared" si="2"/>
        <v>688.41810000000009</v>
      </c>
    </row>
    <row r="88" spans="1:8">
      <c r="A88">
        <v>126</v>
      </c>
      <c r="B88" t="s">
        <v>544</v>
      </c>
      <c r="C88" t="s">
        <v>545</v>
      </c>
      <c r="D88">
        <v>2157.7800000000002</v>
      </c>
      <c r="E88">
        <v>2157.7800000000002</v>
      </c>
      <c r="F88" t="s">
        <v>386</v>
      </c>
      <c r="G88" t="s">
        <v>1</v>
      </c>
      <c r="H88">
        <f t="shared" si="2"/>
        <v>712.42810000000031</v>
      </c>
    </row>
    <row r="89" spans="1:8">
      <c r="A89">
        <v>146</v>
      </c>
      <c r="B89" t="s">
        <v>546</v>
      </c>
      <c r="C89" t="s">
        <v>547</v>
      </c>
      <c r="D89">
        <v>2173.7800000000002</v>
      </c>
      <c r="E89">
        <v>2173.7800000000002</v>
      </c>
      <c r="F89" t="s">
        <v>386</v>
      </c>
      <c r="G89" t="s">
        <v>1</v>
      </c>
      <c r="H89">
        <f t="shared" si="2"/>
        <v>728.42810000000031</v>
      </c>
    </row>
    <row r="90" spans="1:8">
      <c r="A90">
        <v>121</v>
      </c>
      <c r="B90" t="s">
        <v>548</v>
      </c>
      <c r="C90" t="s">
        <v>549</v>
      </c>
      <c r="D90">
        <v>2174.8000000000002</v>
      </c>
      <c r="E90">
        <v>2174.8000000000002</v>
      </c>
      <c r="F90" t="s">
        <v>386</v>
      </c>
      <c r="G90" t="s">
        <v>1</v>
      </c>
      <c r="H90">
        <f t="shared" si="2"/>
        <v>729.4481000000003</v>
      </c>
    </row>
    <row r="91" spans="1:8">
      <c r="A91">
        <v>122</v>
      </c>
      <c r="B91" t="s">
        <v>550</v>
      </c>
      <c r="C91" t="s">
        <v>551</v>
      </c>
      <c r="D91">
        <v>2190.79</v>
      </c>
      <c r="E91">
        <v>2190.79</v>
      </c>
      <c r="F91" t="s">
        <v>386</v>
      </c>
      <c r="G91" t="s">
        <v>1</v>
      </c>
      <c r="H91">
        <f t="shared" si="2"/>
        <v>745.43810000000008</v>
      </c>
    </row>
    <row r="92" spans="1:8">
      <c r="A92">
        <v>60</v>
      </c>
      <c r="B92" t="s">
        <v>552</v>
      </c>
      <c r="C92" t="s">
        <v>553</v>
      </c>
      <c r="D92">
        <v>2204.77</v>
      </c>
      <c r="E92">
        <v>2204.77</v>
      </c>
      <c r="F92" t="s">
        <v>386</v>
      </c>
      <c r="G92" t="s">
        <v>1</v>
      </c>
      <c r="H92">
        <f t="shared" si="2"/>
        <v>759.41810000000009</v>
      </c>
    </row>
    <row r="93" spans="1:8">
      <c r="A93">
        <v>72</v>
      </c>
      <c r="B93" t="s">
        <v>554</v>
      </c>
      <c r="C93" t="s">
        <v>555</v>
      </c>
      <c r="D93">
        <v>2220.77</v>
      </c>
      <c r="E93">
        <v>2220.77</v>
      </c>
      <c r="F93" t="s">
        <v>386</v>
      </c>
      <c r="G93" t="s">
        <v>1</v>
      </c>
      <c r="H93">
        <f t="shared" si="2"/>
        <v>775.41810000000009</v>
      </c>
    </row>
    <row r="94" spans="1:8">
      <c r="A94">
        <v>51</v>
      </c>
      <c r="B94" t="s">
        <v>556</v>
      </c>
      <c r="C94" t="s">
        <v>557</v>
      </c>
      <c r="D94">
        <v>2221.79</v>
      </c>
      <c r="E94">
        <v>2221.79</v>
      </c>
      <c r="F94" t="s">
        <v>386</v>
      </c>
      <c r="G94" t="s">
        <v>1</v>
      </c>
      <c r="H94">
        <f t="shared" si="2"/>
        <v>776.43810000000008</v>
      </c>
    </row>
    <row r="95" spans="1:8">
      <c r="A95">
        <v>57</v>
      </c>
      <c r="B95" t="s">
        <v>558</v>
      </c>
      <c r="C95" t="s">
        <v>557</v>
      </c>
      <c r="D95">
        <v>2221.79</v>
      </c>
      <c r="E95">
        <v>2221.79</v>
      </c>
      <c r="F95" t="s">
        <v>386</v>
      </c>
      <c r="G95" t="s">
        <v>1</v>
      </c>
      <c r="H95">
        <f t="shared" si="2"/>
        <v>776.43810000000008</v>
      </c>
    </row>
    <row r="96" spans="1:8">
      <c r="A96">
        <v>74</v>
      </c>
      <c r="B96" t="s">
        <v>559</v>
      </c>
      <c r="C96" t="s">
        <v>560</v>
      </c>
      <c r="D96">
        <v>2236.7600000000002</v>
      </c>
      <c r="E96">
        <v>2236.7600000000002</v>
      </c>
      <c r="F96" t="s">
        <v>386</v>
      </c>
      <c r="G96" t="s">
        <v>1</v>
      </c>
      <c r="H96">
        <f t="shared" si="2"/>
        <v>791.40810000000033</v>
      </c>
    </row>
    <row r="97" spans="1:8">
      <c r="A97">
        <v>58</v>
      </c>
      <c r="B97" t="s">
        <v>561</v>
      </c>
      <c r="C97" t="s">
        <v>562</v>
      </c>
      <c r="D97">
        <v>2237.7800000000002</v>
      </c>
      <c r="E97">
        <v>2237.7800000000002</v>
      </c>
      <c r="F97" t="s">
        <v>386</v>
      </c>
      <c r="G97" t="s">
        <v>1</v>
      </c>
      <c r="H97">
        <f t="shared" si="2"/>
        <v>792.42810000000031</v>
      </c>
    </row>
    <row r="98" spans="1:8">
      <c r="A98">
        <v>55</v>
      </c>
      <c r="B98" t="s">
        <v>563</v>
      </c>
      <c r="C98" t="s">
        <v>564</v>
      </c>
      <c r="D98">
        <v>2262.81</v>
      </c>
      <c r="E98">
        <v>2262.81</v>
      </c>
      <c r="F98" t="s">
        <v>386</v>
      </c>
      <c r="G98" t="s">
        <v>1</v>
      </c>
      <c r="H98">
        <f t="shared" ref="H98:H129" si="3">D98-$D$17</f>
        <v>817.45810000000006</v>
      </c>
    </row>
    <row r="99" spans="1:8">
      <c r="A99">
        <v>87</v>
      </c>
      <c r="B99" t="s">
        <v>565</v>
      </c>
      <c r="C99" t="s">
        <v>564</v>
      </c>
      <c r="D99">
        <v>2262.81</v>
      </c>
      <c r="E99">
        <v>2262.81</v>
      </c>
      <c r="F99" t="s">
        <v>386</v>
      </c>
      <c r="G99" t="s">
        <v>1</v>
      </c>
      <c r="H99">
        <f t="shared" si="3"/>
        <v>817.45810000000006</v>
      </c>
    </row>
    <row r="100" spans="1:8">
      <c r="A100">
        <v>88</v>
      </c>
      <c r="B100" t="s">
        <v>566</v>
      </c>
      <c r="C100" t="s">
        <v>567</v>
      </c>
      <c r="D100">
        <v>2278.81</v>
      </c>
      <c r="E100">
        <v>2278.81</v>
      </c>
      <c r="F100" t="s">
        <v>386</v>
      </c>
      <c r="G100" t="s">
        <v>1</v>
      </c>
      <c r="H100">
        <f t="shared" si="3"/>
        <v>833.45810000000006</v>
      </c>
    </row>
    <row r="101" spans="1:8">
      <c r="A101">
        <v>99</v>
      </c>
      <c r="B101" t="s">
        <v>568</v>
      </c>
      <c r="C101" t="s">
        <v>567</v>
      </c>
      <c r="D101">
        <v>2278.81</v>
      </c>
      <c r="E101">
        <v>2278.81</v>
      </c>
      <c r="F101" t="s">
        <v>386</v>
      </c>
      <c r="G101" t="s">
        <v>1</v>
      </c>
      <c r="H101">
        <f t="shared" si="3"/>
        <v>833.45810000000006</v>
      </c>
    </row>
    <row r="102" spans="1:8">
      <c r="A102">
        <v>100</v>
      </c>
      <c r="B102" t="s">
        <v>569</v>
      </c>
      <c r="C102" t="s">
        <v>570</v>
      </c>
      <c r="D102">
        <v>2294.8000000000002</v>
      </c>
      <c r="E102">
        <v>2294.8000000000002</v>
      </c>
      <c r="F102" t="s">
        <v>386</v>
      </c>
      <c r="G102" t="s">
        <v>1</v>
      </c>
      <c r="H102">
        <f t="shared" si="3"/>
        <v>849.4481000000003</v>
      </c>
    </row>
    <row r="103" spans="1:8">
      <c r="A103">
        <v>127</v>
      </c>
      <c r="B103" t="s">
        <v>571</v>
      </c>
      <c r="C103" t="s">
        <v>572</v>
      </c>
      <c r="D103">
        <v>2303.84</v>
      </c>
      <c r="E103">
        <v>2303.84</v>
      </c>
      <c r="F103" t="s">
        <v>386</v>
      </c>
      <c r="G103" t="s">
        <v>1</v>
      </c>
      <c r="H103">
        <f t="shared" si="3"/>
        <v>858.48810000000026</v>
      </c>
    </row>
    <row r="104" spans="1:8">
      <c r="A104">
        <v>128</v>
      </c>
      <c r="B104" t="s">
        <v>573</v>
      </c>
      <c r="C104" t="s">
        <v>574</v>
      </c>
      <c r="D104">
        <v>2319.84</v>
      </c>
      <c r="E104">
        <v>2319.84</v>
      </c>
      <c r="F104" t="s">
        <v>386</v>
      </c>
      <c r="G104" t="s">
        <v>1</v>
      </c>
      <c r="H104">
        <f t="shared" si="3"/>
        <v>874.48810000000026</v>
      </c>
    </row>
    <row r="105" spans="1:8">
      <c r="A105">
        <v>147</v>
      </c>
      <c r="B105" t="s">
        <v>575</v>
      </c>
      <c r="C105" t="s">
        <v>574</v>
      </c>
      <c r="D105">
        <v>2319.84</v>
      </c>
      <c r="E105">
        <v>2319.84</v>
      </c>
      <c r="F105" t="s">
        <v>386</v>
      </c>
      <c r="G105" t="s">
        <v>1</v>
      </c>
      <c r="H105">
        <f t="shared" si="3"/>
        <v>874.48810000000026</v>
      </c>
    </row>
    <row r="106" spans="1:8">
      <c r="A106">
        <v>148</v>
      </c>
      <c r="B106" t="s">
        <v>576</v>
      </c>
      <c r="C106" t="s">
        <v>577</v>
      </c>
      <c r="D106">
        <v>2335.83</v>
      </c>
      <c r="E106">
        <v>2335.83</v>
      </c>
      <c r="F106" t="s">
        <v>386</v>
      </c>
      <c r="G106" t="s">
        <v>1</v>
      </c>
      <c r="H106">
        <f t="shared" si="3"/>
        <v>890.47810000000004</v>
      </c>
    </row>
    <row r="107" spans="1:8">
      <c r="A107">
        <v>123</v>
      </c>
      <c r="B107" t="s">
        <v>578</v>
      </c>
      <c r="C107" t="s">
        <v>579</v>
      </c>
      <c r="D107">
        <v>2336.85</v>
      </c>
      <c r="E107">
        <v>2336.85</v>
      </c>
      <c r="F107" t="s">
        <v>386</v>
      </c>
      <c r="G107" t="s">
        <v>1</v>
      </c>
      <c r="H107">
        <f t="shared" si="3"/>
        <v>891.49810000000002</v>
      </c>
    </row>
    <row r="108" spans="1:8">
      <c r="A108">
        <v>62</v>
      </c>
      <c r="B108" t="s">
        <v>580</v>
      </c>
      <c r="C108" t="s">
        <v>581</v>
      </c>
      <c r="D108">
        <v>2350.83</v>
      </c>
      <c r="E108">
        <v>2350.83</v>
      </c>
      <c r="F108" t="s">
        <v>386</v>
      </c>
      <c r="G108" t="s">
        <v>1</v>
      </c>
      <c r="H108">
        <f t="shared" si="3"/>
        <v>905.47810000000004</v>
      </c>
    </row>
    <row r="109" spans="1:8">
      <c r="A109">
        <v>124</v>
      </c>
      <c r="B109" t="s">
        <v>582</v>
      </c>
      <c r="C109" t="s">
        <v>583</v>
      </c>
      <c r="D109">
        <v>2352.85</v>
      </c>
      <c r="E109">
        <v>2352.85</v>
      </c>
      <c r="F109" t="s">
        <v>386</v>
      </c>
      <c r="G109" t="s">
        <v>1</v>
      </c>
      <c r="H109">
        <f t="shared" si="3"/>
        <v>907.49810000000002</v>
      </c>
    </row>
    <row r="110" spans="1:8">
      <c r="A110">
        <v>64</v>
      </c>
      <c r="B110" t="s">
        <v>584</v>
      </c>
      <c r="C110" t="s">
        <v>585</v>
      </c>
      <c r="D110">
        <v>2366.83</v>
      </c>
      <c r="E110">
        <v>2366.83</v>
      </c>
      <c r="F110" t="s">
        <v>386</v>
      </c>
      <c r="G110" t="s">
        <v>1</v>
      </c>
      <c r="H110">
        <f t="shared" si="3"/>
        <v>921.47810000000004</v>
      </c>
    </row>
    <row r="111" spans="1:8">
      <c r="A111">
        <v>73</v>
      </c>
      <c r="B111" t="s">
        <v>586</v>
      </c>
      <c r="C111" t="s">
        <v>585</v>
      </c>
      <c r="D111">
        <v>2366.83</v>
      </c>
      <c r="E111">
        <v>2366.83</v>
      </c>
      <c r="F111" t="s">
        <v>386</v>
      </c>
      <c r="G111" t="s">
        <v>1</v>
      </c>
      <c r="H111">
        <f t="shared" si="3"/>
        <v>921.47810000000004</v>
      </c>
    </row>
    <row r="112" spans="1:8">
      <c r="A112">
        <v>75</v>
      </c>
      <c r="B112" t="s">
        <v>587</v>
      </c>
      <c r="C112" t="s">
        <v>588</v>
      </c>
      <c r="D112">
        <v>2382.8200000000002</v>
      </c>
      <c r="E112">
        <v>2382.8200000000002</v>
      </c>
      <c r="F112" t="s">
        <v>386</v>
      </c>
      <c r="G112" t="s">
        <v>1</v>
      </c>
      <c r="H112">
        <f t="shared" si="3"/>
        <v>937.46810000000028</v>
      </c>
    </row>
    <row r="113" spans="1:8">
      <c r="A113">
        <v>59</v>
      </c>
      <c r="B113" t="s">
        <v>589</v>
      </c>
      <c r="C113" t="s">
        <v>590</v>
      </c>
      <c r="D113">
        <v>2383.84</v>
      </c>
      <c r="E113">
        <v>2383.84</v>
      </c>
      <c r="F113" t="s">
        <v>386</v>
      </c>
      <c r="G113" t="s">
        <v>1</v>
      </c>
      <c r="H113">
        <f t="shared" si="3"/>
        <v>938.48810000000026</v>
      </c>
    </row>
    <row r="114" spans="1:8">
      <c r="A114">
        <v>61</v>
      </c>
      <c r="B114" t="s">
        <v>591</v>
      </c>
      <c r="C114" t="s">
        <v>592</v>
      </c>
      <c r="D114">
        <v>2407.85</v>
      </c>
      <c r="E114">
        <v>2407.85</v>
      </c>
      <c r="F114" t="s">
        <v>386</v>
      </c>
      <c r="G114" t="s">
        <v>1</v>
      </c>
      <c r="H114">
        <f t="shared" si="3"/>
        <v>962.49810000000002</v>
      </c>
    </row>
    <row r="115" spans="1:8">
      <c r="A115">
        <v>90</v>
      </c>
      <c r="B115" t="s">
        <v>593</v>
      </c>
      <c r="C115" t="s">
        <v>592</v>
      </c>
      <c r="D115">
        <v>2407.85</v>
      </c>
      <c r="E115">
        <v>2407.85</v>
      </c>
      <c r="F115" t="s">
        <v>386</v>
      </c>
      <c r="G115" t="s">
        <v>1</v>
      </c>
      <c r="H115">
        <f t="shared" si="3"/>
        <v>962.49810000000002</v>
      </c>
    </row>
    <row r="116" spans="1:8">
      <c r="A116">
        <v>102</v>
      </c>
      <c r="B116" t="s">
        <v>594</v>
      </c>
      <c r="C116" t="s">
        <v>595</v>
      </c>
      <c r="D116">
        <v>2423.85</v>
      </c>
      <c r="E116">
        <v>2423.85</v>
      </c>
      <c r="F116" t="s">
        <v>386</v>
      </c>
      <c r="G116" t="s">
        <v>1</v>
      </c>
      <c r="H116">
        <f t="shared" si="3"/>
        <v>978.49810000000002</v>
      </c>
    </row>
    <row r="117" spans="1:8">
      <c r="A117">
        <v>89</v>
      </c>
      <c r="B117" t="s">
        <v>596</v>
      </c>
      <c r="C117" t="s">
        <v>597</v>
      </c>
      <c r="D117">
        <v>2424.87</v>
      </c>
      <c r="E117">
        <v>2424.87</v>
      </c>
      <c r="F117" t="s">
        <v>386</v>
      </c>
      <c r="G117" t="s">
        <v>1</v>
      </c>
      <c r="H117">
        <f t="shared" si="3"/>
        <v>979.5181</v>
      </c>
    </row>
    <row r="118" spans="1:8">
      <c r="A118">
        <v>108</v>
      </c>
      <c r="B118" t="s">
        <v>598</v>
      </c>
      <c r="C118" t="s">
        <v>599</v>
      </c>
      <c r="D118">
        <v>2439.84</v>
      </c>
      <c r="E118">
        <v>2439.84</v>
      </c>
      <c r="F118" t="s">
        <v>386</v>
      </c>
      <c r="G118" t="s">
        <v>1</v>
      </c>
      <c r="H118">
        <f t="shared" si="3"/>
        <v>994.48810000000026</v>
      </c>
    </row>
    <row r="119" spans="1:8">
      <c r="A119">
        <v>101</v>
      </c>
      <c r="B119" t="s">
        <v>600</v>
      </c>
      <c r="C119" t="s">
        <v>601</v>
      </c>
      <c r="D119">
        <v>2440.86</v>
      </c>
      <c r="E119">
        <v>2440.86</v>
      </c>
      <c r="F119" t="s">
        <v>386</v>
      </c>
      <c r="G119" t="s">
        <v>1</v>
      </c>
      <c r="H119">
        <f t="shared" si="3"/>
        <v>995.50810000000024</v>
      </c>
    </row>
    <row r="120" spans="1:8">
      <c r="A120">
        <v>129</v>
      </c>
      <c r="B120" t="s">
        <v>602</v>
      </c>
      <c r="C120" t="s">
        <v>603</v>
      </c>
      <c r="D120">
        <v>2465.89</v>
      </c>
      <c r="E120">
        <v>2465.89</v>
      </c>
      <c r="F120" t="s">
        <v>386</v>
      </c>
      <c r="G120" t="s">
        <v>1</v>
      </c>
      <c r="H120">
        <f t="shared" si="3"/>
        <v>1020.5381</v>
      </c>
    </row>
    <row r="121" spans="1:8">
      <c r="A121">
        <v>130</v>
      </c>
      <c r="B121" t="s">
        <v>604</v>
      </c>
      <c r="C121" t="s">
        <v>605</v>
      </c>
      <c r="D121">
        <v>2481.89</v>
      </c>
      <c r="E121">
        <v>2481.89</v>
      </c>
      <c r="F121" t="s">
        <v>386</v>
      </c>
      <c r="G121" t="s">
        <v>1</v>
      </c>
      <c r="H121">
        <f t="shared" si="3"/>
        <v>1036.5381</v>
      </c>
    </row>
    <row r="122" spans="1:8">
      <c r="A122">
        <v>149</v>
      </c>
      <c r="B122" t="s">
        <v>606</v>
      </c>
      <c r="C122" t="s">
        <v>605</v>
      </c>
      <c r="D122">
        <v>2481.89</v>
      </c>
      <c r="E122">
        <v>2481.89</v>
      </c>
      <c r="F122" t="s">
        <v>386</v>
      </c>
      <c r="G122" t="s">
        <v>1</v>
      </c>
      <c r="H122">
        <f t="shared" si="3"/>
        <v>1036.5381</v>
      </c>
    </row>
    <row r="123" spans="1:8">
      <c r="A123">
        <v>150</v>
      </c>
      <c r="B123" t="s">
        <v>607</v>
      </c>
      <c r="C123" t="s">
        <v>608</v>
      </c>
      <c r="D123">
        <v>2497.88</v>
      </c>
      <c r="E123">
        <v>2497.88</v>
      </c>
      <c r="F123" t="s">
        <v>386</v>
      </c>
      <c r="G123" t="s">
        <v>1</v>
      </c>
      <c r="H123">
        <f t="shared" si="3"/>
        <v>1052.5281000000002</v>
      </c>
    </row>
    <row r="124" spans="1:8">
      <c r="A124">
        <v>125</v>
      </c>
      <c r="B124" t="s">
        <v>609</v>
      </c>
      <c r="C124" t="s">
        <v>610</v>
      </c>
      <c r="D124">
        <v>2498.9</v>
      </c>
      <c r="E124">
        <v>2498.9</v>
      </c>
      <c r="F124" t="s">
        <v>386</v>
      </c>
      <c r="G124" t="s">
        <v>1</v>
      </c>
      <c r="H124">
        <f t="shared" si="3"/>
        <v>1053.5481000000002</v>
      </c>
    </row>
    <row r="125" spans="1:8">
      <c r="A125">
        <v>65</v>
      </c>
      <c r="B125" t="s">
        <v>611</v>
      </c>
      <c r="C125" t="s">
        <v>612</v>
      </c>
      <c r="D125">
        <v>2512.88</v>
      </c>
      <c r="E125">
        <v>2512.88</v>
      </c>
      <c r="F125" t="s">
        <v>386</v>
      </c>
      <c r="G125" t="s">
        <v>1</v>
      </c>
      <c r="H125">
        <f t="shared" si="3"/>
        <v>1067.5281000000002</v>
      </c>
    </row>
    <row r="126" spans="1:8">
      <c r="A126">
        <v>66</v>
      </c>
      <c r="B126" t="s">
        <v>613</v>
      </c>
      <c r="C126" t="s">
        <v>614</v>
      </c>
      <c r="D126">
        <v>2528.88</v>
      </c>
      <c r="E126">
        <v>2528.88</v>
      </c>
      <c r="F126" t="s">
        <v>386</v>
      </c>
      <c r="G126" t="s">
        <v>1</v>
      </c>
      <c r="H126">
        <f t="shared" si="3"/>
        <v>1083.5281000000002</v>
      </c>
    </row>
    <row r="127" spans="1:8">
      <c r="A127">
        <v>63</v>
      </c>
      <c r="B127" t="s">
        <v>615</v>
      </c>
      <c r="C127" t="s">
        <v>616</v>
      </c>
      <c r="D127">
        <v>2553.91</v>
      </c>
      <c r="E127">
        <v>2553.91</v>
      </c>
      <c r="F127" t="s">
        <v>386</v>
      </c>
      <c r="G127" t="s">
        <v>1</v>
      </c>
      <c r="H127">
        <f t="shared" si="3"/>
        <v>1108.5581</v>
      </c>
    </row>
    <row r="128" spans="1:8">
      <c r="A128">
        <v>91</v>
      </c>
      <c r="B128" t="s">
        <v>617</v>
      </c>
      <c r="C128" t="s">
        <v>616</v>
      </c>
      <c r="D128">
        <v>2553.91</v>
      </c>
      <c r="E128">
        <v>2553.91</v>
      </c>
      <c r="F128" t="s">
        <v>386</v>
      </c>
      <c r="G128" t="s">
        <v>1</v>
      </c>
      <c r="H128">
        <f t="shared" si="3"/>
        <v>1108.5581</v>
      </c>
    </row>
    <row r="129" spans="1:8">
      <c r="A129">
        <v>92</v>
      </c>
      <c r="B129" t="s">
        <v>618</v>
      </c>
      <c r="C129" t="s">
        <v>619</v>
      </c>
      <c r="D129">
        <v>2569.9</v>
      </c>
      <c r="E129">
        <v>2569.9</v>
      </c>
      <c r="F129" t="s">
        <v>386</v>
      </c>
      <c r="G129" t="s">
        <v>1</v>
      </c>
      <c r="H129">
        <f t="shared" si="3"/>
        <v>1124.5481000000002</v>
      </c>
    </row>
    <row r="130" spans="1:8">
      <c r="A130">
        <v>103</v>
      </c>
      <c r="B130" t="s">
        <v>620</v>
      </c>
      <c r="C130" t="s">
        <v>619</v>
      </c>
      <c r="D130">
        <v>2569.9</v>
      </c>
      <c r="E130">
        <v>2569.9</v>
      </c>
      <c r="F130" t="s">
        <v>386</v>
      </c>
      <c r="G130" t="s">
        <v>1</v>
      </c>
      <c r="H130">
        <f t="shared" ref="H130:H161" si="4">D130-$D$17</f>
        <v>1124.5481000000002</v>
      </c>
    </row>
    <row r="131" spans="1:8">
      <c r="A131">
        <v>104</v>
      </c>
      <c r="B131" t="s">
        <v>621</v>
      </c>
      <c r="C131" t="s">
        <v>622</v>
      </c>
      <c r="D131">
        <v>2585.9</v>
      </c>
      <c r="E131">
        <v>2585.9</v>
      </c>
      <c r="F131" t="s">
        <v>386</v>
      </c>
      <c r="G131" t="s">
        <v>1</v>
      </c>
      <c r="H131">
        <f t="shared" si="4"/>
        <v>1140.5481000000002</v>
      </c>
    </row>
    <row r="132" spans="1:8">
      <c r="A132">
        <v>109</v>
      </c>
      <c r="B132" t="s">
        <v>623</v>
      </c>
      <c r="C132" t="s">
        <v>622</v>
      </c>
      <c r="D132">
        <v>2585.9</v>
      </c>
      <c r="E132">
        <v>2585.9</v>
      </c>
      <c r="F132" t="s">
        <v>386</v>
      </c>
      <c r="G132" t="s">
        <v>1</v>
      </c>
      <c r="H132">
        <f t="shared" si="4"/>
        <v>1140.5481000000002</v>
      </c>
    </row>
    <row r="133" spans="1:8">
      <c r="A133">
        <v>110</v>
      </c>
      <c r="B133" t="s">
        <v>624</v>
      </c>
      <c r="C133" t="s">
        <v>625</v>
      </c>
      <c r="D133">
        <v>2601.89</v>
      </c>
      <c r="E133">
        <v>2601.89</v>
      </c>
      <c r="F133" t="s">
        <v>386</v>
      </c>
      <c r="G133" t="s">
        <v>1</v>
      </c>
      <c r="H133">
        <f t="shared" si="4"/>
        <v>1156.5381</v>
      </c>
    </row>
    <row r="134" spans="1:8">
      <c r="A134">
        <v>134</v>
      </c>
      <c r="B134" t="s">
        <v>626</v>
      </c>
      <c r="C134" t="s">
        <v>627</v>
      </c>
      <c r="D134">
        <v>2610.9299999999998</v>
      </c>
      <c r="E134">
        <v>2610.9299999999998</v>
      </c>
      <c r="F134" t="s">
        <v>386</v>
      </c>
      <c r="G134" t="s">
        <v>1</v>
      </c>
      <c r="H134">
        <f t="shared" si="4"/>
        <v>1165.5780999999999</v>
      </c>
    </row>
    <row r="135" spans="1:8">
      <c r="A135">
        <v>154</v>
      </c>
      <c r="B135" t="s">
        <v>628</v>
      </c>
      <c r="C135" t="s">
        <v>629</v>
      </c>
      <c r="D135">
        <v>2626.93</v>
      </c>
      <c r="E135">
        <v>2626.93</v>
      </c>
      <c r="F135" t="s">
        <v>386</v>
      </c>
      <c r="G135" t="s">
        <v>1</v>
      </c>
      <c r="H135">
        <f t="shared" si="4"/>
        <v>1181.5780999999999</v>
      </c>
    </row>
    <row r="136" spans="1:8">
      <c r="A136">
        <v>131</v>
      </c>
      <c r="B136" t="s">
        <v>630</v>
      </c>
      <c r="C136" t="s">
        <v>631</v>
      </c>
      <c r="D136">
        <v>2627.95</v>
      </c>
      <c r="E136">
        <v>2627.95</v>
      </c>
      <c r="F136" t="s">
        <v>386</v>
      </c>
      <c r="G136" t="s">
        <v>1</v>
      </c>
      <c r="H136">
        <f t="shared" si="4"/>
        <v>1182.5980999999999</v>
      </c>
    </row>
    <row r="137" spans="1:8">
      <c r="A137">
        <v>166</v>
      </c>
      <c r="B137" t="s">
        <v>632</v>
      </c>
      <c r="C137" t="s">
        <v>633</v>
      </c>
      <c r="D137">
        <v>2642.92</v>
      </c>
      <c r="E137">
        <v>2642.92</v>
      </c>
      <c r="F137" t="s">
        <v>386</v>
      </c>
      <c r="G137" t="s">
        <v>1</v>
      </c>
      <c r="H137">
        <f t="shared" si="4"/>
        <v>1197.5681000000002</v>
      </c>
    </row>
    <row r="138" spans="1:8">
      <c r="A138">
        <v>132</v>
      </c>
      <c r="B138" t="s">
        <v>634</v>
      </c>
      <c r="C138" t="s">
        <v>635</v>
      </c>
      <c r="D138">
        <v>2643.94</v>
      </c>
      <c r="E138">
        <v>2643.94</v>
      </c>
      <c r="F138" t="s">
        <v>386</v>
      </c>
      <c r="G138" t="s">
        <v>1</v>
      </c>
      <c r="H138">
        <f t="shared" si="4"/>
        <v>1198.5881000000002</v>
      </c>
    </row>
    <row r="139" spans="1:8">
      <c r="A139">
        <v>151</v>
      </c>
      <c r="B139" t="s">
        <v>636</v>
      </c>
      <c r="C139" t="s">
        <v>635</v>
      </c>
      <c r="D139">
        <v>2643.94</v>
      </c>
      <c r="E139">
        <v>2643.94</v>
      </c>
      <c r="F139" t="s">
        <v>386</v>
      </c>
      <c r="G139" t="s">
        <v>1</v>
      </c>
      <c r="H139">
        <f t="shared" si="4"/>
        <v>1198.5881000000002</v>
      </c>
    </row>
    <row r="140" spans="1:8">
      <c r="A140">
        <v>152</v>
      </c>
      <c r="B140" t="s">
        <v>637</v>
      </c>
      <c r="C140" t="s">
        <v>638</v>
      </c>
      <c r="D140">
        <v>2659.94</v>
      </c>
      <c r="E140">
        <v>2659.94</v>
      </c>
      <c r="F140" t="s">
        <v>386</v>
      </c>
      <c r="G140" t="s">
        <v>1</v>
      </c>
      <c r="H140">
        <f t="shared" si="4"/>
        <v>1214.5881000000002</v>
      </c>
    </row>
    <row r="141" spans="1:8">
      <c r="A141">
        <v>67</v>
      </c>
      <c r="B141" t="s">
        <v>639</v>
      </c>
      <c r="C141" t="s">
        <v>640</v>
      </c>
      <c r="D141" s="15">
        <v>2676.4387000000002</v>
      </c>
      <c r="E141">
        <v>2674.94</v>
      </c>
      <c r="F141" t="s">
        <v>386</v>
      </c>
      <c r="G141" t="s">
        <v>1</v>
      </c>
      <c r="H141">
        <f t="shared" si="4"/>
        <v>1231.0868000000003</v>
      </c>
    </row>
    <row r="142" spans="1:8">
      <c r="A142">
        <v>93</v>
      </c>
      <c r="B142" t="s">
        <v>641</v>
      </c>
      <c r="C142" t="s">
        <v>642</v>
      </c>
      <c r="D142" s="15">
        <v>2717.4915000000001</v>
      </c>
      <c r="E142">
        <v>2715.96</v>
      </c>
      <c r="F142" t="s">
        <v>386</v>
      </c>
      <c r="G142" t="s">
        <v>1</v>
      </c>
      <c r="H142">
        <f t="shared" si="4"/>
        <v>1272.1396000000002</v>
      </c>
    </row>
    <row r="143" spans="1:8">
      <c r="A143">
        <v>105</v>
      </c>
      <c r="B143" t="s">
        <v>643</v>
      </c>
      <c r="C143" t="s">
        <v>644</v>
      </c>
      <c r="D143">
        <v>2731.96</v>
      </c>
      <c r="E143">
        <v>2731.96</v>
      </c>
      <c r="F143" t="s">
        <v>386</v>
      </c>
      <c r="G143" t="s">
        <v>1</v>
      </c>
      <c r="H143">
        <f t="shared" si="4"/>
        <v>1286.6081000000001</v>
      </c>
    </row>
    <row r="144" spans="1:8">
      <c r="A144">
        <v>195</v>
      </c>
      <c r="B144" t="s">
        <v>645</v>
      </c>
      <c r="C144" t="s">
        <v>646</v>
      </c>
      <c r="D144">
        <v>2744.54</v>
      </c>
      <c r="E144">
        <v>2743.01</v>
      </c>
      <c r="F144" t="s">
        <v>386</v>
      </c>
      <c r="G144" t="s">
        <v>1</v>
      </c>
      <c r="H144">
        <f t="shared" si="4"/>
        <v>1299.1881000000001</v>
      </c>
    </row>
    <row r="145" spans="1:8">
      <c r="A145">
        <v>111</v>
      </c>
      <c r="B145" t="s">
        <v>647</v>
      </c>
      <c r="C145" t="s">
        <v>648</v>
      </c>
      <c r="D145">
        <v>2747.95</v>
      </c>
      <c r="E145">
        <v>2747.95</v>
      </c>
      <c r="F145" t="s">
        <v>386</v>
      </c>
      <c r="G145" t="s">
        <v>1</v>
      </c>
      <c r="H145">
        <f t="shared" si="4"/>
        <v>1302.5980999999999</v>
      </c>
    </row>
    <row r="146" spans="1:8">
      <c r="A146">
        <v>135</v>
      </c>
      <c r="B146" t="s">
        <v>649</v>
      </c>
      <c r="C146" t="s">
        <v>650</v>
      </c>
      <c r="D146">
        <v>2756.99</v>
      </c>
      <c r="E146">
        <v>2756.99</v>
      </c>
      <c r="F146" t="s">
        <v>386</v>
      </c>
      <c r="G146" t="s">
        <v>1</v>
      </c>
      <c r="H146">
        <f t="shared" si="4"/>
        <v>1311.6380999999999</v>
      </c>
    </row>
    <row r="147" spans="1:8">
      <c r="A147">
        <v>136</v>
      </c>
      <c r="B147" t="s">
        <v>651</v>
      </c>
      <c r="C147" t="s">
        <v>652</v>
      </c>
      <c r="D147">
        <v>2772.98</v>
      </c>
      <c r="E147">
        <v>2772.98</v>
      </c>
      <c r="F147" t="s">
        <v>386</v>
      </c>
      <c r="G147" t="s">
        <v>1</v>
      </c>
      <c r="H147">
        <f t="shared" si="4"/>
        <v>1327.6281000000001</v>
      </c>
    </row>
    <row r="148" spans="1:8">
      <c r="A148">
        <v>155</v>
      </c>
      <c r="B148" t="s">
        <v>653</v>
      </c>
      <c r="C148" t="s">
        <v>652</v>
      </c>
      <c r="D148">
        <v>2772.98</v>
      </c>
      <c r="E148">
        <v>2772.98</v>
      </c>
      <c r="F148" t="s">
        <v>386</v>
      </c>
      <c r="G148" t="s">
        <v>1</v>
      </c>
      <c r="H148">
        <f t="shared" si="4"/>
        <v>1327.6281000000001</v>
      </c>
    </row>
    <row r="149" spans="1:8">
      <c r="A149">
        <v>156</v>
      </c>
      <c r="B149" t="s">
        <v>654</v>
      </c>
      <c r="C149" t="s">
        <v>655</v>
      </c>
      <c r="D149">
        <v>2788.98</v>
      </c>
      <c r="E149">
        <v>2788.98</v>
      </c>
      <c r="F149" t="s">
        <v>386</v>
      </c>
      <c r="G149" t="s">
        <v>1</v>
      </c>
      <c r="H149">
        <f t="shared" si="4"/>
        <v>1343.6281000000001</v>
      </c>
    </row>
    <row r="150" spans="1:8">
      <c r="A150">
        <v>167</v>
      </c>
      <c r="B150" t="s">
        <v>656</v>
      </c>
      <c r="C150" t="s">
        <v>655</v>
      </c>
      <c r="D150">
        <v>2788.98</v>
      </c>
      <c r="E150">
        <v>2788.98</v>
      </c>
      <c r="F150" t="s">
        <v>386</v>
      </c>
      <c r="G150" t="s">
        <v>1</v>
      </c>
      <c r="H150">
        <f t="shared" si="4"/>
        <v>1343.6281000000001</v>
      </c>
    </row>
    <row r="151" spans="1:8">
      <c r="A151">
        <v>133</v>
      </c>
      <c r="B151" t="s">
        <v>657</v>
      </c>
      <c r="C151" t="s">
        <v>658</v>
      </c>
      <c r="D151">
        <v>2790</v>
      </c>
      <c r="E151">
        <v>2790</v>
      </c>
      <c r="F151" t="s">
        <v>386</v>
      </c>
      <c r="G151" t="s">
        <v>1</v>
      </c>
      <c r="H151">
        <f t="shared" si="4"/>
        <v>1344.6481000000001</v>
      </c>
    </row>
    <row r="152" spans="1:8">
      <c r="A152">
        <v>168</v>
      </c>
      <c r="B152" t="s">
        <v>659</v>
      </c>
      <c r="C152" t="s">
        <v>660</v>
      </c>
      <c r="D152">
        <v>2804.97</v>
      </c>
      <c r="E152">
        <v>2804.97</v>
      </c>
      <c r="F152" t="s">
        <v>386</v>
      </c>
      <c r="G152" t="s">
        <v>1</v>
      </c>
      <c r="H152">
        <f t="shared" si="4"/>
        <v>1359.6180999999999</v>
      </c>
    </row>
    <row r="153" spans="1:8">
      <c r="A153">
        <v>153</v>
      </c>
      <c r="B153" t="s">
        <v>661</v>
      </c>
      <c r="C153" t="s">
        <v>662</v>
      </c>
      <c r="D153">
        <v>2805.99</v>
      </c>
      <c r="E153">
        <v>2805.99</v>
      </c>
      <c r="F153" t="s">
        <v>386</v>
      </c>
      <c r="G153" t="s">
        <v>1</v>
      </c>
      <c r="H153">
        <f t="shared" si="4"/>
        <v>1360.6380999999999</v>
      </c>
    </row>
    <row r="154" spans="1:8">
      <c r="A154">
        <v>94</v>
      </c>
      <c r="B154" t="s">
        <v>663</v>
      </c>
      <c r="C154" t="s">
        <v>664</v>
      </c>
      <c r="D154" s="15">
        <v>2862.6062000000002</v>
      </c>
      <c r="E154">
        <v>2861</v>
      </c>
      <c r="F154" t="s">
        <v>386</v>
      </c>
      <c r="G154" t="s">
        <v>1</v>
      </c>
      <c r="H154">
        <f t="shared" si="4"/>
        <v>1417.2543000000003</v>
      </c>
    </row>
    <row r="155" spans="1:8">
      <c r="A155">
        <v>106</v>
      </c>
      <c r="B155" t="s">
        <v>665</v>
      </c>
      <c r="C155" t="s">
        <v>666</v>
      </c>
      <c r="D155">
        <v>2876.99</v>
      </c>
      <c r="E155">
        <v>2876.99</v>
      </c>
      <c r="F155" t="s">
        <v>386</v>
      </c>
      <c r="G155" t="s">
        <v>1</v>
      </c>
      <c r="H155">
        <f t="shared" si="4"/>
        <v>1431.6380999999999</v>
      </c>
    </row>
    <row r="156" spans="1:8">
      <c r="A156">
        <v>196</v>
      </c>
      <c r="B156" t="s">
        <v>667</v>
      </c>
      <c r="C156" t="s">
        <v>668</v>
      </c>
      <c r="D156">
        <v>2890.68</v>
      </c>
      <c r="E156">
        <v>2889.0680000000002</v>
      </c>
      <c r="F156" t="s">
        <v>386</v>
      </c>
      <c r="G156" t="s">
        <v>1</v>
      </c>
      <c r="H156">
        <f t="shared" si="4"/>
        <v>1445.3280999999999</v>
      </c>
    </row>
    <row r="157" spans="1:8">
      <c r="A157">
        <v>112</v>
      </c>
      <c r="B157" t="s">
        <v>669</v>
      </c>
      <c r="C157" t="s">
        <v>670</v>
      </c>
      <c r="D157">
        <v>2892.99</v>
      </c>
      <c r="E157">
        <v>2892.99</v>
      </c>
      <c r="F157" t="s">
        <v>386</v>
      </c>
      <c r="G157" t="s">
        <v>1</v>
      </c>
      <c r="H157">
        <f t="shared" si="4"/>
        <v>1447.6380999999999</v>
      </c>
    </row>
    <row r="158" spans="1:8">
      <c r="A158">
        <v>114</v>
      </c>
      <c r="B158" t="s">
        <v>671</v>
      </c>
      <c r="C158" t="s">
        <v>672</v>
      </c>
      <c r="D158">
        <v>2908.98</v>
      </c>
      <c r="E158">
        <v>2908.98</v>
      </c>
      <c r="F158" t="s">
        <v>386</v>
      </c>
      <c r="G158" t="s">
        <v>1</v>
      </c>
      <c r="H158">
        <f t="shared" si="4"/>
        <v>1463.6281000000001</v>
      </c>
    </row>
    <row r="159" spans="1:8">
      <c r="A159">
        <v>137</v>
      </c>
      <c r="B159" t="s">
        <v>673</v>
      </c>
      <c r="C159" t="s">
        <v>674</v>
      </c>
      <c r="D159">
        <v>2919.04</v>
      </c>
      <c r="E159">
        <v>2919.04</v>
      </c>
      <c r="F159" t="s">
        <v>386</v>
      </c>
      <c r="G159" t="s">
        <v>1</v>
      </c>
      <c r="H159">
        <f t="shared" si="4"/>
        <v>1473.6881000000001</v>
      </c>
    </row>
    <row r="160" spans="1:8">
      <c r="A160">
        <v>138</v>
      </c>
      <c r="B160" t="s">
        <v>675</v>
      </c>
      <c r="C160" t="s">
        <v>676</v>
      </c>
      <c r="D160">
        <v>2935.04</v>
      </c>
      <c r="E160">
        <v>2935.04</v>
      </c>
      <c r="F160" t="s">
        <v>386</v>
      </c>
      <c r="G160" t="s">
        <v>1</v>
      </c>
      <c r="H160">
        <f t="shared" si="4"/>
        <v>1489.6881000000001</v>
      </c>
    </row>
    <row r="161" spans="1:8">
      <c r="A161">
        <v>157</v>
      </c>
      <c r="B161" t="s">
        <v>677</v>
      </c>
      <c r="C161" t="s">
        <v>676</v>
      </c>
      <c r="D161">
        <v>2935.04</v>
      </c>
      <c r="E161">
        <v>2935.04</v>
      </c>
      <c r="F161" t="s">
        <v>386</v>
      </c>
      <c r="G161" t="s">
        <v>1</v>
      </c>
      <c r="H161">
        <f t="shared" si="4"/>
        <v>1489.6881000000001</v>
      </c>
    </row>
    <row r="162" spans="1:8">
      <c r="A162">
        <v>158</v>
      </c>
      <c r="B162" t="s">
        <v>678</v>
      </c>
      <c r="C162" t="s">
        <v>679</v>
      </c>
      <c r="D162">
        <v>2951.03</v>
      </c>
      <c r="E162">
        <v>2951.03</v>
      </c>
      <c r="F162" t="s">
        <v>386</v>
      </c>
      <c r="G162" t="s">
        <v>1</v>
      </c>
      <c r="H162">
        <f t="shared" ref="H162:H193" si="5">D162-$D$17</f>
        <v>1505.6781000000003</v>
      </c>
    </row>
    <row r="163" spans="1:8">
      <c r="A163">
        <v>169</v>
      </c>
      <c r="B163" t="s">
        <v>680</v>
      </c>
      <c r="C163" t="s">
        <v>679</v>
      </c>
      <c r="D163">
        <v>2951.03</v>
      </c>
      <c r="E163">
        <v>2951.03</v>
      </c>
      <c r="F163" t="s">
        <v>386</v>
      </c>
      <c r="G163" t="s">
        <v>1</v>
      </c>
      <c r="H163">
        <f t="shared" si="5"/>
        <v>1505.6781000000003</v>
      </c>
    </row>
    <row r="164" spans="1:8">
      <c r="A164">
        <v>170</v>
      </c>
      <c r="B164" t="s">
        <v>681</v>
      </c>
      <c r="C164" t="s">
        <v>682</v>
      </c>
      <c r="D164">
        <v>2967.03</v>
      </c>
      <c r="E164">
        <v>2967.03</v>
      </c>
      <c r="F164" t="s">
        <v>386</v>
      </c>
      <c r="G164" t="s">
        <v>1</v>
      </c>
      <c r="H164">
        <f t="shared" si="5"/>
        <v>1521.6781000000003</v>
      </c>
    </row>
    <row r="165" spans="1:8">
      <c r="A165">
        <v>95</v>
      </c>
      <c r="B165" t="s">
        <v>683</v>
      </c>
      <c r="C165" t="s">
        <v>684</v>
      </c>
      <c r="D165">
        <v>3007.06</v>
      </c>
      <c r="E165">
        <v>3007.06</v>
      </c>
      <c r="F165" t="s">
        <v>386</v>
      </c>
      <c r="G165" t="s">
        <v>1</v>
      </c>
      <c r="H165">
        <f t="shared" si="5"/>
        <v>1561.7081000000001</v>
      </c>
    </row>
    <row r="166" spans="1:8">
      <c r="A166">
        <v>107</v>
      </c>
      <c r="B166" t="s">
        <v>685</v>
      </c>
      <c r="C166" t="s">
        <v>686</v>
      </c>
      <c r="D166">
        <v>3023.05</v>
      </c>
      <c r="E166">
        <v>3023.05</v>
      </c>
      <c r="F166" t="s">
        <v>386</v>
      </c>
      <c r="G166" t="s">
        <v>1</v>
      </c>
      <c r="H166">
        <f t="shared" si="5"/>
        <v>1577.6981000000003</v>
      </c>
    </row>
    <row r="167" spans="1:8">
      <c r="A167">
        <v>113</v>
      </c>
      <c r="B167" t="s">
        <v>687</v>
      </c>
      <c r="C167" t="s">
        <v>688</v>
      </c>
      <c r="D167">
        <v>3039.05</v>
      </c>
      <c r="E167">
        <v>3039.05</v>
      </c>
      <c r="F167" t="s">
        <v>386</v>
      </c>
      <c r="G167" t="s">
        <v>1</v>
      </c>
      <c r="H167">
        <f t="shared" si="5"/>
        <v>1593.6981000000003</v>
      </c>
    </row>
    <row r="168" spans="1:8">
      <c r="A168">
        <v>197</v>
      </c>
      <c r="B168" t="s">
        <v>689</v>
      </c>
      <c r="C168" t="s">
        <v>690</v>
      </c>
      <c r="D168">
        <v>3052.82</v>
      </c>
      <c r="E168">
        <v>3051.1210000000001</v>
      </c>
      <c r="F168" t="s">
        <v>386</v>
      </c>
      <c r="G168" t="s">
        <v>1</v>
      </c>
      <c r="H168">
        <f t="shared" si="5"/>
        <v>1607.4681000000003</v>
      </c>
    </row>
    <row r="169" spans="1:8">
      <c r="A169">
        <v>115</v>
      </c>
      <c r="B169" t="s">
        <v>691</v>
      </c>
      <c r="C169" t="s">
        <v>692</v>
      </c>
      <c r="D169">
        <v>3055.04</v>
      </c>
      <c r="E169">
        <v>3055.04</v>
      </c>
      <c r="F169" t="s">
        <v>386</v>
      </c>
      <c r="G169" t="s">
        <v>1</v>
      </c>
      <c r="H169">
        <f t="shared" si="5"/>
        <v>1609.6881000000001</v>
      </c>
    </row>
    <row r="170" spans="1:8">
      <c r="A170">
        <v>140</v>
      </c>
      <c r="B170" t="s">
        <v>693</v>
      </c>
      <c r="C170" t="s">
        <v>694</v>
      </c>
      <c r="D170">
        <v>3064.08</v>
      </c>
      <c r="E170">
        <v>3064.08</v>
      </c>
      <c r="F170" t="s">
        <v>386</v>
      </c>
      <c r="G170" t="s">
        <v>1</v>
      </c>
      <c r="H170">
        <f t="shared" si="5"/>
        <v>1618.7281</v>
      </c>
    </row>
    <row r="171" spans="1:8">
      <c r="A171">
        <v>160</v>
      </c>
      <c r="B171" t="s">
        <v>695</v>
      </c>
      <c r="C171" t="s">
        <v>696</v>
      </c>
      <c r="D171">
        <v>3080.07</v>
      </c>
      <c r="E171">
        <v>3080.07</v>
      </c>
      <c r="F171" t="s">
        <v>386</v>
      </c>
      <c r="G171" t="s">
        <v>1</v>
      </c>
      <c r="H171">
        <f t="shared" si="5"/>
        <v>1634.7181000000003</v>
      </c>
    </row>
    <row r="172" spans="1:8">
      <c r="A172">
        <v>139</v>
      </c>
      <c r="B172" t="s">
        <v>697</v>
      </c>
      <c r="C172" t="s">
        <v>698</v>
      </c>
      <c r="D172">
        <v>3081.09</v>
      </c>
      <c r="E172">
        <v>3081.09</v>
      </c>
      <c r="F172" t="s">
        <v>386</v>
      </c>
      <c r="G172" t="s">
        <v>1</v>
      </c>
      <c r="H172">
        <f t="shared" si="5"/>
        <v>1635.7381000000003</v>
      </c>
    </row>
    <row r="173" spans="1:8">
      <c r="A173">
        <v>172</v>
      </c>
      <c r="B173" t="s">
        <v>699</v>
      </c>
      <c r="C173" t="s">
        <v>700</v>
      </c>
      <c r="D173">
        <v>3096.07</v>
      </c>
      <c r="E173">
        <v>3096.07</v>
      </c>
      <c r="F173" t="s">
        <v>386</v>
      </c>
      <c r="G173" t="s">
        <v>1</v>
      </c>
      <c r="H173">
        <f t="shared" si="5"/>
        <v>1650.7181000000003</v>
      </c>
    </row>
    <row r="174" spans="1:8">
      <c r="A174">
        <v>159</v>
      </c>
      <c r="B174" t="s">
        <v>701</v>
      </c>
      <c r="C174" t="s">
        <v>702</v>
      </c>
      <c r="D174">
        <v>3097.09</v>
      </c>
      <c r="E174">
        <v>3097.09</v>
      </c>
      <c r="F174" t="s">
        <v>386</v>
      </c>
      <c r="G174" t="s">
        <v>1</v>
      </c>
      <c r="H174">
        <f t="shared" si="5"/>
        <v>1651.7381000000003</v>
      </c>
    </row>
    <row r="175" spans="1:8">
      <c r="A175">
        <v>178</v>
      </c>
      <c r="B175" t="s">
        <v>703</v>
      </c>
      <c r="C175" t="s">
        <v>704</v>
      </c>
      <c r="D175">
        <v>3112.06</v>
      </c>
      <c r="E175">
        <v>3112.06</v>
      </c>
      <c r="F175" t="s">
        <v>386</v>
      </c>
      <c r="G175" t="s">
        <v>1</v>
      </c>
      <c r="H175">
        <f t="shared" si="5"/>
        <v>1666.7081000000001</v>
      </c>
    </row>
    <row r="176" spans="1:8">
      <c r="A176">
        <v>171</v>
      </c>
      <c r="B176" t="s">
        <v>705</v>
      </c>
      <c r="C176" t="s">
        <v>706</v>
      </c>
      <c r="D176">
        <v>3113.08</v>
      </c>
      <c r="E176">
        <v>3113.08</v>
      </c>
      <c r="F176" t="s">
        <v>386</v>
      </c>
      <c r="G176" t="s">
        <v>1</v>
      </c>
      <c r="H176">
        <f t="shared" si="5"/>
        <v>1667.7281</v>
      </c>
    </row>
    <row r="177" spans="1:8">
      <c r="A177">
        <v>141</v>
      </c>
      <c r="B177" t="s">
        <v>707</v>
      </c>
      <c r="C177" t="s">
        <v>708</v>
      </c>
      <c r="D177">
        <v>3210.14</v>
      </c>
      <c r="E177">
        <v>3210.14</v>
      </c>
      <c r="F177" t="s">
        <v>386</v>
      </c>
      <c r="G177" t="s">
        <v>1</v>
      </c>
      <c r="H177">
        <f t="shared" si="5"/>
        <v>1764.7881</v>
      </c>
    </row>
    <row r="178" spans="1:8">
      <c r="A178">
        <v>198</v>
      </c>
      <c r="B178" t="s">
        <v>709</v>
      </c>
      <c r="C178" t="s">
        <v>710</v>
      </c>
      <c r="D178">
        <v>3214.96</v>
      </c>
      <c r="E178">
        <v>3213.1729999999998</v>
      </c>
      <c r="F178" t="s">
        <v>386</v>
      </c>
      <c r="G178" t="s">
        <v>1</v>
      </c>
      <c r="H178">
        <f t="shared" si="5"/>
        <v>1769.6081000000001</v>
      </c>
    </row>
    <row r="179" spans="1:8">
      <c r="A179">
        <v>142</v>
      </c>
      <c r="B179" t="s">
        <v>711</v>
      </c>
      <c r="C179" t="s">
        <v>712</v>
      </c>
      <c r="D179">
        <v>3226.13</v>
      </c>
      <c r="E179">
        <v>3226.13</v>
      </c>
      <c r="F179" t="s">
        <v>386</v>
      </c>
      <c r="G179" t="s">
        <v>1</v>
      </c>
      <c r="H179">
        <f t="shared" si="5"/>
        <v>1780.7781000000002</v>
      </c>
    </row>
    <row r="180" spans="1:8">
      <c r="A180">
        <v>161</v>
      </c>
      <c r="B180" t="s">
        <v>713</v>
      </c>
      <c r="C180" t="s">
        <v>712</v>
      </c>
      <c r="D180">
        <v>3226.13</v>
      </c>
      <c r="E180">
        <v>3226.13</v>
      </c>
      <c r="F180" t="s">
        <v>386</v>
      </c>
      <c r="G180" t="s">
        <v>1</v>
      </c>
      <c r="H180">
        <f t="shared" si="5"/>
        <v>1780.7781000000002</v>
      </c>
    </row>
    <row r="181" spans="1:8">
      <c r="A181">
        <v>162</v>
      </c>
      <c r="B181" t="s">
        <v>714</v>
      </c>
      <c r="C181" t="s">
        <v>715</v>
      </c>
      <c r="D181">
        <v>3242.13</v>
      </c>
      <c r="E181">
        <v>3242.13</v>
      </c>
      <c r="F181" t="s">
        <v>386</v>
      </c>
      <c r="G181" t="s">
        <v>1</v>
      </c>
      <c r="H181">
        <f t="shared" si="5"/>
        <v>1796.7781000000002</v>
      </c>
    </row>
    <row r="182" spans="1:8">
      <c r="A182">
        <v>173</v>
      </c>
      <c r="B182" t="s">
        <v>716</v>
      </c>
      <c r="C182" t="s">
        <v>715</v>
      </c>
      <c r="D182">
        <v>3242.13</v>
      </c>
      <c r="E182">
        <v>3242.13</v>
      </c>
      <c r="F182" t="s">
        <v>386</v>
      </c>
      <c r="G182" t="s">
        <v>1</v>
      </c>
      <c r="H182">
        <f t="shared" si="5"/>
        <v>1796.7781000000002</v>
      </c>
    </row>
    <row r="183" spans="1:8">
      <c r="A183">
        <v>174</v>
      </c>
      <c r="B183" t="s">
        <v>717</v>
      </c>
      <c r="C183" t="s">
        <v>718</v>
      </c>
      <c r="D183">
        <v>3258.12</v>
      </c>
      <c r="E183">
        <v>3258.12</v>
      </c>
      <c r="F183" t="s">
        <v>386</v>
      </c>
      <c r="G183" t="s">
        <v>1</v>
      </c>
      <c r="H183">
        <f t="shared" si="5"/>
        <v>1812.7681</v>
      </c>
    </row>
    <row r="184" spans="1:8">
      <c r="A184">
        <v>179</v>
      </c>
      <c r="B184" t="s">
        <v>719</v>
      </c>
      <c r="C184" t="s">
        <v>718</v>
      </c>
      <c r="D184">
        <v>3258.12</v>
      </c>
      <c r="E184">
        <v>3258.12</v>
      </c>
      <c r="F184" t="s">
        <v>386</v>
      </c>
      <c r="G184" t="s">
        <v>1</v>
      </c>
      <c r="H184">
        <f t="shared" si="5"/>
        <v>1812.7681</v>
      </c>
    </row>
    <row r="185" spans="1:8">
      <c r="A185">
        <v>180</v>
      </c>
      <c r="B185" t="s">
        <v>720</v>
      </c>
      <c r="C185" t="s">
        <v>721</v>
      </c>
      <c r="D185">
        <v>3274.12</v>
      </c>
      <c r="E185">
        <v>3274.12</v>
      </c>
      <c r="F185" t="s">
        <v>386</v>
      </c>
      <c r="G185" t="s">
        <v>1</v>
      </c>
      <c r="H185">
        <f t="shared" si="5"/>
        <v>1828.7681</v>
      </c>
    </row>
    <row r="186" spans="1:8">
      <c r="A186">
        <v>143</v>
      </c>
      <c r="B186" t="s">
        <v>722</v>
      </c>
      <c r="C186" t="s">
        <v>723</v>
      </c>
      <c r="D186">
        <v>3372.19</v>
      </c>
      <c r="E186">
        <v>3372.19</v>
      </c>
      <c r="F186" t="s">
        <v>386</v>
      </c>
      <c r="G186" t="s">
        <v>1</v>
      </c>
      <c r="H186">
        <f t="shared" si="5"/>
        <v>1926.8381000000002</v>
      </c>
    </row>
    <row r="187" spans="1:8">
      <c r="A187">
        <v>199</v>
      </c>
      <c r="B187" t="s">
        <v>724</v>
      </c>
      <c r="C187" t="s">
        <v>725</v>
      </c>
      <c r="D187">
        <v>3377.1</v>
      </c>
      <c r="E187">
        <v>3375.2260000000001</v>
      </c>
      <c r="F187" t="s">
        <v>386</v>
      </c>
      <c r="G187" t="s">
        <v>1</v>
      </c>
      <c r="H187">
        <f t="shared" si="5"/>
        <v>1931.7481</v>
      </c>
    </row>
    <row r="188" spans="1:8">
      <c r="A188">
        <v>163</v>
      </c>
      <c r="B188" t="s">
        <v>726</v>
      </c>
      <c r="C188" t="s">
        <v>727</v>
      </c>
      <c r="D188">
        <v>3388.19</v>
      </c>
      <c r="E188">
        <v>3388.19</v>
      </c>
      <c r="F188" t="s">
        <v>386</v>
      </c>
      <c r="G188" t="s">
        <v>1</v>
      </c>
      <c r="H188">
        <f t="shared" si="5"/>
        <v>1942.8381000000002</v>
      </c>
    </row>
    <row r="189" spans="1:8">
      <c r="A189">
        <v>175</v>
      </c>
      <c r="B189" t="s">
        <v>728</v>
      </c>
      <c r="C189" t="s">
        <v>729</v>
      </c>
      <c r="D189">
        <v>3404.18</v>
      </c>
      <c r="E189">
        <v>3404.18</v>
      </c>
      <c r="F189" t="s">
        <v>386</v>
      </c>
      <c r="G189" t="s">
        <v>1</v>
      </c>
      <c r="H189">
        <f t="shared" si="5"/>
        <v>1958.8280999999999</v>
      </c>
    </row>
    <row r="190" spans="1:8">
      <c r="A190">
        <v>181</v>
      </c>
      <c r="B190" t="s">
        <v>730</v>
      </c>
      <c r="C190" t="s">
        <v>731</v>
      </c>
      <c r="D190">
        <v>3420.18</v>
      </c>
      <c r="E190">
        <v>3420.18</v>
      </c>
      <c r="F190" t="s">
        <v>386</v>
      </c>
      <c r="G190" t="s">
        <v>1</v>
      </c>
      <c r="H190">
        <f t="shared" si="5"/>
        <v>1974.8280999999999</v>
      </c>
    </row>
    <row r="191" spans="1:8">
      <c r="A191">
        <v>144</v>
      </c>
      <c r="B191" t="s">
        <v>732</v>
      </c>
      <c r="C191" t="s">
        <v>733</v>
      </c>
      <c r="D191">
        <v>3517.23</v>
      </c>
      <c r="E191">
        <v>3517.23</v>
      </c>
      <c r="F191" t="s">
        <v>386</v>
      </c>
      <c r="G191" t="s">
        <v>1</v>
      </c>
      <c r="H191">
        <f t="shared" si="5"/>
        <v>2071.8780999999999</v>
      </c>
    </row>
    <row r="192" spans="1:8">
      <c r="A192">
        <v>164</v>
      </c>
      <c r="B192" t="s">
        <v>734</v>
      </c>
      <c r="C192" t="s">
        <v>735</v>
      </c>
      <c r="D192">
        <v>3533.22</v>
      </c>
      <c r="E192">
        <v>3533.22</v>
      </c>
      <c r="F192" t="s">
        <v>386</v>
      </c>
      <c r="G192" t="s">
        <v>1</v>
      </c>
      <c r="H192">
        <f t="shared" si="5"/>
        <v>2087.8680999999997</v>
      </c>
    </row>
    <row r="193" spans="1:8">
      <c r="A193">
        <v>200</v>
      </c>
      <c r="B193" t="s">
        <v>736</v>
      </c>
      <c r="C193" t="s">
        <v>737</v>
      </c>
      <c r="D193">
        <v>3539.24</v>
      </c>
      <c r="E193">
        <v>3537.279</v>
      </c>
      <c r="F193" t="s">
        <v>386</v>
      </c>
      <c r="G193" t="s">
        <v>1</v>
      </c>
      <c r="H193">
        <f t="shared" si="5"/>
        <v>2093.8881000000001</v>
      </c>
    </row>
    <row r="194" spans="1:8">
      <c r="A194">
        <v>176</v>
      </c>
      <c r="B194" t="s">
        <v>738</v>
      </c>
      <c r="C194" t="s">
        <v>739</v>
      </c>
      <c r="D194">
        <v>3549.22</v>
      </c>
      <c r="E194">
        <v>3549.22</v>
      </c>
      <c r="F194" t="s">
        <v>386</v>
      </c>
      <c r="G194" t="s">
        <v>1</v>
      </c>
      <c r="H194">
        <f t="shared" ref="H194:H201" si="6">D194-$D$17</f>
        <v>2103.8680999999997</v>
      </c>
    </row>
    <row r="195" spans="1:8">
      <c r="A195">
        <v>182</v>
      </c>
      <c r="B195" t="s">
        <v>740</v>
      </c>
      <c r="C195" t="s">
        <v>741</v>
      </c>
      <c r="D195">
        <v>3565.21</v>
      </c>
      <c r="E195">
        <v>3565.21</v>
      </c>
      <c r="F195" t="s">
        <v>386</v>
      </c>
      <c r="G195" t="s">
        <v>1</v>
      </c>
      <c r="H195">
        <f t="shared" si="6"/>
        <v>2119.8581000000004</v>
      </c>
    </row>
    <row r="196" spans="1:8">
      <c r="A196">
        <v>184</v>
      </c>
      <c r="B196" t="s">
        <v>742</v>
      </c>
      <c r="C196" t="s">
        <v>743</v>
      </c>
      <c r="D196">
        <v>3581.21</v>
      </c>
      <c r="E196">
        <v>3581.21</v>
      </c>
      <c r="F196" t="s">
        <v>386</v>
      </c>
      <c r="G196" t="s">
        <v>1</v>
      </c>
      <c r="H196">
        <f t="shared" si="6"/>
        <v>2135.8581000000004</v>
      </c>
    </row>
    <row r="197" spans="1:8">
      <c r="A197">
        <v>145</v>
      </c>
      <c r="B197" t="s">
        <v>744</v>
      </c>
      <c r="C197" t="s">
        <v>745</v>
      </c>
      <c r="D197">
        <v>3663.29</v>
      </c>
      <c r="E197">
        <v>3663.29</v>
      </c>
      <c r="F197" t="s">
        <v>386</v>
      </c>
      <c r="G197" t="s">
        <v>1</v>
      </c>
      <c r="H197">
        <f t="shared" si="6"/>
        <v>2217.9381000000003</v>
      </c>
    </row>
    <row r="198" spans="1:8">
      <c r="A198">
        <v>165</v>
      </c>
      <c r="B198" t="s">
        <v>746</v>
      </c>
      <c r="C198" t="s">
        <v>747</v>
      </c>
      <c r="D198">
        <v>3679.28</v>
      </c>
      <c r="E198">
        <v>3679.28</v>
      </c>
      <c r="F198" t="s">
        <v>386</v>
      </c>
      <c r="G198" t="s">
        <v>1</v>
      </c>
      <c r="H198">
        <f t="shared" si="6"/>
        <v>2233.9281000000001</v>
      </c>
    </row>
    <row r="199" spans="1:8">
      <c r="A199">
        <v>177</v>
      </c>
      <c r="B199" t="s">
        <v>748</v>
      </c>
      <c r="C199" t="s">
        <v>749</v>
      </c>
      <c r="D199">
        <v>3695.28</v>
      </c>
      <c r="E199">
        <v>3695.28</v>
      </c>
      <c r="F199" t="s">
        <v>386</v>
      </c>
      <c r="G199" t="s">
        <v>1</v>
      </c>
      <c r="H199">
        <f t="shared" si="6"/>
        <v>2249.9281000000001</v>
      </c>
    </row>
    <row r="200" spans="1:8">
      <c r="A200">
        <v>183</v>
      </c>
      <c r="B200" t="s">
        <v>750</v>
      </c>
      <c r="C200" t="s">
        <v>751</v>
      </c>
      <c r="D200">
        <v>3711.27</v>
      </c>
      <c r="E200">
        <v>3711.27</v>
      </c>
      <c r="F200" t="s">
        <v>386</v>
      </c>
      <c r="G200" t="s">
        <v>1</v>
      </c>
      <c r="H200">
        <f t="shared" si="6"/>
        <v>2265.9180999999999</v>
      </c>
    </row>
    <row r="201" spans="1:8">
      <c r="A201">
        <v>185</v>
      </c>
      <c r="B201" t="s">
        <v>752</v>
      </c>
      <c r="C201" t="s">
        <v>753</v>
      </c>
      <c r="D201">
        <v>3727.27</v>
      </c>
      <c r="E201">
        <v>3727.27</v>
      </c>
      <c r="F201" t="s">
        <v>386</v>
      </c>
      <c r="G201" t="s">
        <v>1</v>
      </c>
      <c r="H201">
        <f t="shared" si="6"/>
        <v>2281.9180999999999</v>
      </c>
    </row>
  </sheetData>
  <autoFilter ref="A1:I201" xr:uid="{00000000-0009-0000-0000-000009000000}">
    <sortState xmlns:xlrd2="http://schemas.microsoft.com/office/spreadsheetml/2017/richdata2" ref="A2:I201">
      <sortCondition ref="D1:D201"/>
    </sortState>
  </autoFilter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56"/>
  <sheetViews>
    <sheetView workbookViewId="0">
      <selection activeCell="B22" sqref="B22"/>
    </sheetView>
  </sheetViews>
  <sheetFormatPr defaultRowHeight="15"/>
  <cols>
    <col min="1" max="1" width="13.28515625" bestFit="1" customWidth="1"/>
    <col min="2" max="2" width="38.28515625" bestFit="1" customWidth="1"/>
    <col min="3" max="3" width="4.7109375" bestFit="1" customWidth="1"/>
    <col min="4" max="4" width="38.28515625" bestFit="1" customWidth="1"/>
    <col min="5" max="5" width="52.5703125" bestFit="1" customWidth="1"/>
    <col min="6" max="6" width="13.42578125" bestFit="1" customWidth="1"/>
    <col min="7" max="7" width="20.42578125" bestFit="1" customWidth="1"/>
    <col min="8" max="8" width="24.85546875" bestFit="1" customWidth="1"/>
    <col min="9" max="9" width="13.28515625" bestFit="1" customWidth="1"/>
    <col min="10" max="10" width="19" bestFit="1" customWidth="1"/>
    <col min="11" max="11" width="20.42578125" bestFit="1" customWidth="1"/>
    <col min="12" max="12" width="12" bestFit="1" customWidth="1"/>
    <col min="13" max="13" width="23.42578125" bestFit="1" customWidth="1"/>
  </cols>
  <sheetData>
    <row r="1" spans="1:23">
      <c r="A1" s="38" t="s">
        <v>754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0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8" t="s">
        <v>12</v>
      </c>
      <c r="O1" s="38" t="s">
        <v>13</v>
      </c>
      <c r="P1" s="38" t="s">
        <v>14</v>
      </c>
      <c r="Q1" s="38" t="s">
        <v>15</v>
      </c>
      <c r="R1" s="38" t="s">
        <v>16</v>
      </c>
      <c r="S1" s="38" t="s">
        <v>17</v>
      </c>
      <c r="T1" s="38" t="s">
        <v>18</v>
      </c>
      <c r="U1" s="38" t="s">
        <v>755</v>
      </c>
      <c r="V1" s="38" t="s">
        <v>756</v>
      </c>
      <c r="W1" s="38" t="s">
        <v>757</v>
      </c>
    </row>
    <row r="2" spans="1:23">
      <c r="A2" t="s">
        <v>758</v>
      </c>
      <c r="B2" t="s">
        <v>19</v>
      </c>
      <c r="C2">
        <v>1</v>
      </c>
      <c r="D2" t="s">
        <v>19</v>
      </c>
      <c r="E2" t="s">
        <v>20</v>
      </c>
      <c r="F2">
        <v>147199.542812945</v>
      </c>
      <c r="G2">
        <v>147199.42604399999</v>
      </c>
      <c r="H2">
        <v>0.79326975425745905</v>
      </c>
      <c r="I2">
        <v>1811353777</v>
      </c>
      <c r="J2">
        <v>100</v>
      </c>
      <c r="K2">
        <v>43.906559789362802</v>
      </c>
      <c r="L2">
        <v>145.39236488380899</v>
      </c>
      <c r="M2">
        <v>42</v>
      </c>
      <c r="N2" t="s">
        <v>21</v>
      </c>
      <c r="O2">
        <v>15</v>
      </c>
      <c r="P2">
        <v>0</v>
      </c>
      <c r="Q2" t="s">
        <v>22</v>
      </c>
      <c r="R2">
        <v>14.3610783757333</v>
      </c>
      <c r="S2">
        <v>16.911954300000001</v>
      </c>
      <c r="T2">
        <v>15.21</v>
      </c>
      <c r="U2">
        <v>1811353777</v>
      </c>
      <c r="V2">
        <v>4</v>
      </c>
      <c r="W2">
        <v>49.502050318588367</v>
      </c>
    </row>
    <row r="3" spans="1:23">
      <c r="A3" t="s">
        <v>758</v>
      </c>
      <c r="B3" t="s">
        <v>19</v>
      </c>
      <c r="C3">
        <v>2</v>
      </c>
      <c r="D3" t="s">
        <v>19</v>
      </c>
      <c r="E3" t="s">
        <v>23</v>
      </c>
      <c r="F3">
        <v>147961.08758199101</v>
      </c>
      <c r="G3">
        <v>147961.428044</v>
      </c>
      <c r="H3">
        <v>2.3010239670976</v>
      </c>
      <c r="I3">
        <v>535687060.25</v>
      </c>
      <c r="J3">
        <v>29.57384955293</v>
      </c>
      <c r="K3">
        <v>12.9848599359734</v>
      </c>
      <c r="L3">
        <v>122.69938023456</v>
      </c>
      <c r="M3">
        <v>38</v>
      </c>
      <c r="N3" t="s">
        <v>24</v>
      </c>
      <c r="O3">
        <v>15</v>
      </c>
      <c r="P3">
        <v>761.54476904613</v>
      </c>
      <c r="Q3" t="s">
        <v>22</v>
      </c>
      <c r="R3">
        <v>14.3610783757333</v>
      </c>
      <c r="S3">
        <v>16.911954300000001</v>
      </c>
      <c r="T3">
        <v>15.21</v>
      </c>
      <c r="U3">
        <v>1071374120.5</v>
      </c>
      <c r="V3">
        <v>9</v>
      </c>
      <c r="W3">
        <v>14.639662416157689</v>
      </c>
    </row>
    <row r="4" spans="1:23">
      <c r="A4" t="s">
        <v>758</v>
      </c>
      <c r="B4" t="s">
        <v>25</v>
      </c>
      <c r="C4">
        <v>1</v>
      </c>
      <c r="D4" t="s">
        <v>25</v>
      </c>
      <c r="E4" t="s">
        <v>20</v>
      </c>
      <c r="F4">
        <v>148642.82836297201</v>
      </c>
      <c r="G4">
        <v>148643.746044</v>
      </c>
      <c r="H4">
        <v>6.1736941675161976</v>
      </c>
      <c r="I4">
        <v>417189147.75</v>
      </c>
      <c r="J4">
        <v>23.031897220409</v>
      </c>
      <c r="K4">
        <v>10.112513723703399</v>
      </c>
      <c r="L4">
        <v>94.331735991752197</v>
      </c>
      <c r="M4">
        <v>31</v>
      </c>
      <c r="N4" t="s">
        <v>26</v>
      </c>
      <c r="O4">
        <v>15</v>
      </c>
      <c r="P4">
        <v>1443.2855500267499</v>
      </c>
      <c r="Q4" t="s">
        <v>22</v>
      </c>
      <c r="R4">
        <v>14.3610783757333</v>
      </c>
      <c r="S4">
        <v>16.911954300000001</v>
      </c>
      <c r="T4">
        <v>15.21</v>
      </c>
      <c r="U4">
        <v>417189147.75</v>
      </c>
      <c r="V4">
        <v>14</v>
      </c>
      <c r="W4">
        <v>11.401261557249891</v>
      </c>
    </row>
    <row r="5" spans="1:23">
      <c r="A5" t="s">
        <v>758</v>
      </c>
      <c r="B5" t="s">
        <v>19</v>
      </c>
      <c r="C5">
        <v>0</v>
      </c>
      <c r="D5" t="s">
        <v>19</v>
      </c>
      <c r="E5" t="s">
        <v>27</v>
      </c>
      <c r="F5">
        <v>146438.15105377301</v>
      </c>
      <c r="G5">
        <v>146437.42404400001</v>
      </c>
      <c r="H5">
        <v>4.9646199976330996</v>
      </c>
      <c r="I5">
        <v>394610165.875</v>
      </c>
      <c r="J5">
        <v>21.785372051941501</v>
      </c>
      <c r="K5">
        <v>9.5652074053208391</v>
      </c>
      <c r="L5">
        <v>101.72812945075501</v>
      </c>
      <c r="M5">
        <v>35</v>
      </c>
      <c r="N5" t="s">
        <v>28</v>
      </c>
      <c r="O5">
        <v>15</v>
      </c>
      <c r="P5">
        <v>-761.39175917199498</v>
      </c>
      <c r="Q5" t="s">
        <v>22</v>
      </c>
      <c r="R5">
        <v>14.3610783757333</v>
      </c>
      <c r="S5">
        <v>16.911954300000001</v>
      </c>
      <c r="T5">
        <v>15.21</v>
      </c>
      <c r="U5">
        <v>0</v>
      </c>
      <c r="V5">
        <v>11</v>
      </c>
      <c r="W5">
        <v>10.7842060095645</v>
      </c>
    </row>
    <row r="6" spans="1:23">
      <c r="A6" t="s">
        <v>758</v>
      </c>
      <c r="B6" t="s">
        <v>29</v>
      </c>
      <c r="C6">
        <v>1</v>
      </c>
      <c r="D6" t="s">
        <v>29</v>
      </c>
      <c r="E6" t="s">
        <v>20</v>
      </c>
      <c r="F6">
        <v>148805.30046672301</v>
      </c>
      <c r="G6">
        <v>148806.92054399999</v>
      </c>
      <c r="H6">
        <v>10.887109759802501</v>
      </c>
      <c r="I6">
        <v>316522206.5</v>
      </c>
      <c r="J6">
        <v>17.4743446414891</v>
      </c>
      <c r="K6">
        <v>7.67238357781474</v>
      </c>
      <c r="L6">
        <v>92.451899905918907</v>
      </c>
      <c r="M6">
        <v>29</v>
      </c>
      <c r="N6" t="s">
        <v>30</v>
      </c>
      <c r="O6">
        <v>15</v>
      </c>
      <c r="P6">
        <v>1605.7576537774601</v>
      </c>
      <c r="Q6" t="s">
        <v>22</v>
      </c>
      <c r="R6">
        <v>14.3610783757333</v>
      </c>
      <c r="S6">
        <v>16.911954300000001</v>
      </c>
      <c r="T6">
        <v>15.21</v>
      </c>
      <c r="U6">
        <v>316522206.5</v>
      </c>
      <c r="V6">
        <v>17</v>
      </c>
      <c r="W6">
        <v>8.6501590092820493</v>
      </c>
    </row>
    <row r="7" spans="1:23">
      <c r="A7" t="s">
        <v>758</v>
      </c>
      <c r="B7" t="s">
        <v>25</v>
      </c>
      <c r="C7">
        <v>2</v>
      </c>
      <c r="D7" t="s">
        <v>25</v>
      </c>
      <c r="E7" t="s">
        <v>23</v>
      </c>
      <c r="F7">
        <v>149404.02926009599</v>
      </c>
      <c r="G7">
        <v>149405.77804400001</v>
      </c>
      <c r="H7">
        <v>11.70492819559056</v>
      </c>
      <c r="I7">
        <v>92486664.28125</v>
      </c>
      <c r="J7">
        <v>5.1059413241987697</v>
      </c>
      <c r="K7">
        <v>2.2418431803191199</v>
      </c>
      <c r="L7">
        <v>45.124756573463998</v>
      </c>
      <c r="M7">
        <v>23</v>
      </c>
      <c r="N7" t="s">
        <v>31</v>
      </c>
      <c r="O7">
        <v>13</v>
      </c>
      <c r="P7">
        <v>2204.4864471507599</v>
      </c>
      <c r="Q7" t="s">
        <v>22</v>
      </c>
      <c r="R7">
        <v>14.3610783757333</v>
      </c>
      <c r="S7">
        <v>16.911954300000001</v>
      </c>
      <c r="T7">
        <v>15.21</v>
      </c>
      <c r="U7">
        <v>184973328.5625</v>
      </c>
      <c r="V7">
        <v>16</v>
      </c>
      <c r="W7">
        <v>2.527545732469481</v>
      </c>
    </row>
    <row r="8" spans="1:23">
      <c r="A8" t="s">
        <v>758</v>
      </c>
      <c r="B8" t="s">
        <v>29</v>
      </c>
      <c r="C8">
        <v>2</v>
      </c>
      <c r="D8" t="s">
        <v>29</v>
      </c>
      <c r="E8" t="s">
        <v>23</v>
      </c>
      <c r="F8">
        <v>149564.802588597</v>
      </c>
      <c r="G8">
        <v>149568.922544</v>
      </c>
      <c r="H8">
        <v>27.545531069735919</v>
      </c>
      <c r="I8">
        <v>91299973.875</v>
      </c>
      <c r="J8">
        <v>5.0404274038414503</v>
      </c>
      <c r="K8">
        <v>2.2130782717070701</v>
      </c>
      <c r="L8">
        <v>56.528310497334097</v>
      </c>
      <c r="M8">
        <v>19</v>
      </c>
      <c r="N8" t="s">
        <v>32</v>
      </c>
      <c r="O8">
        <v>12</v>
      </c>
      <c r="P8">
        <v>2365.2597756518198</v>
      </c>
      <c r="Q8" t="s">
        <v>33</v>
      </c>
      <c r="R8">
        <v>14.3610783757333</v>
      </c>
      <c r="S8">
        <v>16.4919511370667</v>
      </c>
      <c r="T8">
        <v>15.21</v>
      </c>
      <c r="U8">
        <v>182599947.75</v>
      </c>
      <c r="V8">
        <v>19</v>
      </c>
      <c r="W8">
        <v>2.4951149566880289</v>
      </c>
    </row>
    <row r="9" spans="1:23">
      <c r="A9" t="s">
        <v>759</v>
      </c>
      <c r="B9" t="s">
        <v>19</v>
      </c>
      <c r="C9">
        <v>1</v>
      </c>
      <c r="D9" t="s">
        <v>19</v>
      </c>
      <c r="E9" t="s">
        <v>20</v>
      </c>
      <c r="F9">
        <v>147199.17713075201</v>
      </c>
      <c r="G9">
        <v>147199.42604399999</v>
      </c>
      <c r="H9">
        <v>1.69099619113194</v>
      </c>
      <c r="I9">
        <v>1876040960</v>
      </c>
      <c r="J9">
        <v>100</v>
      </c>
      <c r="K9">
        <v>44.510719842994199</v>
      </c>
      <c r="L9">
        <v>142.98307072407499</v>
      </c>
      <c r="M9">
        <v>40</v>
      </c>
      <c r="N9" t="s">
        <v>83</v>
      </c>
      <c r="O9">
        <v>15</v>
      </c>
      <c r="P9">
        <v>0</v>
      </c>
      <c r="Q9" t="s">
        <v>84</v>
      </c>
      <c r="R9">
        <v>14.3527937410667</v>
      </c>
      <c r="S9">
        <v>16.930450719466702</v>
      </c>
      <c r="T9">
        <v>15.21</v>
      </c>
      <c r="U9">
        <v>1876040960</v>
      </c>
      <c r="V9">
        <v>4</v>
      </c>
      <c r="W9">
        <v>50.655773738268728</v>
      </c>
    </row>
    <row r="10" spans="1:23">
      <c r="A10" t="s">
        <v>759</v>
      </c>
      <c r="B10" t="s">
        <v>19</v>
      </c>
      <c r="C10">
        <v>2</v>
      </c>
      <c r="D10" t="s">
        <v>19</v>
      </c>
      <c r="E10" t="s">
        <v>23</v>
      </c>
      <c r="F10">
        <v>147961.393092026</v>
      </c>
      <c r="G10">
        <v>147961.428044</v>
      </c>
      <c r="H10">
        <v>0.236223605002429</v>
      </c>
      <c r="I10">
        <v>530574644.875</v>
      </c>
      <c r="J10">
        <v>28.281612839582099</v>
      </c>
      <c r="K10">
        <v>12.5883494581067</v>
      </c>
      <c r="L10">
        <v>126.836964422241</v>
      </c>
      <c r="M10">
        <v>35</v>
      </c>
      <c r="N10" t="s">
        <v>85</v>
      </c>
      <c r="O10">
        <v>15</v>
      </c>
      <c r="P10">
        <v>762.21596127419605</v>
      </c>
      <c r="Q10" t="s">
        <v>84</v>
      </c>
      <c r="R10">
        <v>14.3527937410667</v>
      </c>
      <c r="S10">
        <v>16.930450719466702</v>
      </c>
      <c r="T10">
        <v>15.21</v>
      </c>
      <c r="U10">
        <v>1061149289.75</v>
      </c>
      <c r="V10">
        <v>9</v>
      </c>
      <c r="W10">
        <v>14.326269913664509</v>
      </c>
    </row>
    <row r="11" spans="1:23">
      <c r="A11" t="s">
        <v>759</v>
      </c>
      <c r="B11" t="s">
        <v>25</v>
      </c>
      <c r="C11">
        <v>1</v>
      </c>
      <c r="D11" t="s">
        <v>25</v>
      </c>
      <c r="E11" t="s">
        <v>20</v>
      </c>
      <c r="F11">
        <v>148643.071953401</v>
      </c>
      <c r="G11">
        <v>148643.746044</v>
      </c>
      <c r="H11">
        <v>4.5349408699736493</v>
      </c>
      <c r="I11">
        <v>406346631</v>
      </c>
      <c r="J11">
        <v>21.659795631514299</v>
      </c>
      <c r="K11">
        <v>9.6409309521084392</v>
      </c>
      <c r="L11">
        <v>89.063790809268198</v>
      </c>
      <c r="M11">
        <v>32</v>
      </c>
      <c r="N11" t="s">
        <v>86</v>
      </c>
      <c r="O11">
        <v>15</v>
      </c>
      <c r="P11">
        <v>1443.89482264905</v>
      </c>
      <c r="Q11" t="s">
        <v>84</v>
      </c>
      <c r="R11">
        <v>14.3527937410667</v>
      </c>
      <c r="S11">
        <v>16.930450719466702</v>
      </c>
      <c r="T11">
        <v>15.21</v>
      </c>
      <c r="U11">
        <v>406346631</v>
      </c>
      <c r="V11">
        <v>14</v>
      </c>
      <c r="W11">
        <v>10.97193688097501</v>
      </c>
    </row>
    <row r="12" spans="1:23">
      <c r="A12" t="s">
        <v>759</v>
      </c>
      <c r="B12" t="s">
        <v>19</v>
      </c>
      <c r="C12">
        <v>0</v>
      </c>
      <c r="D12" t="s">
        <v>19</v>
      </c>
      <c r="E12" t="s">
        <v>27</v>
      </c>
      <c r="F12">
        <v>146438.143221059</v>
      </c>
      <c r="G12">
        <v>146437.42404400001</v>
      </c>
      <c r="H12">
        <v>4.9111320530093696</v>
      </c>
      <c r="I12">
        <v>385108033.5</v>
      </c>
      <c r="J12">
        <v>20.5276982184769</v>
      </c>
      <c r="K12">
        <v>9.1370262442415697</v>
      </c>
      <c r="L12">
        <v>103.014708669577</v>
      </c>
      <c r="M12">
        <v>32</v>
      </c>
      <c r="N12" t="s">
        <v>87</v>
      </c>
      <c r="O12">
        <v>15</v>
      </c>
      <c r="P12">
        <v>-761.03390969315706</v>
      </c>
      <c r="Q12" t="s">
        <v>84</v>
      </c>
      <c r="R12">
        <v>14.3527937410667</v>
      </c>
      <c r="S12">
        <v>16.930450719466702</v>
      </c>
      <c r="T12">
        <v>15.21</v>
      </c>
      <c r="U12">
        <v>0</v>
      </c>
      <c r="V12">
        <v>11</v>
      </c>
      <c r="W12">
        <v>10.39846454619286</v>
      </c>
    </row>
    <row r="13" spans="1:23">
      <c r="A13" t="s">
        <v>759</v>
      </c>
      <c r="B13" t="s">
        <v>29</v>
      </c>
      <c r="C13">
        <v>1</v>
      </c>
      <c r="D13" t="s">
        <v>29</v>
      </c>
      <c r="E13" t="s">
        <v>20</v>
      </c>
      <c r="F13">
        <v>148805.67672959701</v>
      </c>
      <c r="G13">
        <v>148806.92054399999</v>
      </c>
      <c r="H13">
        <v>8.3585790125917203</v>
      </c>
      <c r="I13">
        <v>310116905.5</v>
      </c>
      <c r="J13">
        <v>16.530391249670799</v>
      </c>
      <c r="K13">
        <v>7.3577961380918104</v>
      </c>
      <c r="L13">
        <v>83.443068132662901</v>
      </c>
      <c r="M13">
        <v>27</v>
      </c>
      <c r="N13" t="s">
        <v>88</v>
      </c>
      <c r="O13">
        <v>15</v>
      </c>
      <c r="P13">
        <v>1606.4995988447899</v>
      </c>
      <c r="Q13" t="s">
        <v>84</v>
      </c>
      <c r="R13">
        <v>14.3527937410667</v>
      </c>
      <c r="S13">
        <v>16.930450719466702</v>
      </c>
      <c r="T13">
        <v>15.21</v>
      </c>
      <c r="U13">
        <v>310116905.5</v>
      </c>
      <c r="V13">
        <v>17</v>
      </c>
      <c r="W13">
        <v>8.3735974492902674</v>
      </c>
    </row>
    <row r="14" spans="1:23">
      <c r="A14" t="s">
        <v>759</v>
      </c>
      <c r="B14" t="s">
        <v>25</v>
      </c>
      <c r="C14">
        <v>2</v>
      </c>
      <c r="D14" t="s">
        <v>25</v>
      </c>
      <c r="E14" t="s">
        <v>23</v>
      </c>
      <c r="F14">
        <v>149404.516225484</v>
      </c>
      <c r="G14">
        <v>149405.77804400001</v>
      </c>
      <c r="H14">
        <v>8.4455804355728947</v>
      </c>
      <c r="I14">
        <v>101688713.5</v>
      </c>
      <c r="J14">
        <v>5.4203887143075598</v>
      </c>
      <c r="K14">
        <v>2.4126540350267098</v>
      </c>
      <c r="L14">
        <v>64.623639509799304</v>
      </c>
      <c r="M14">
        <v>25</v>
      </c>
      <c r="N14" t="s">
        <v>89</v>
      </c>
      <c r="O14">
        <v>11</v>
      </c>
      <c r="P14">
        <v>2205.3390947319899</v>
      </c>
      <c r="Q14" t="s">
        <v>90</v>
      </c>
      <c r="R14">
        <v>14.5072735669333</v>
      </c>
      <c r="S14">
        <v>16.487050313333299</v>
      </c>
      <c r="T14">
        <v>15.21</v>
      </c>
      <c r="U14">
        <v>203377427</v>
      </c>
      <c r="V14">
        <v>16</v>
      </c>
      <c r="W14">
        <v>2.745739870621819</v>
      </c>
    </row>
    <row r="15" spans="1:23">
      <c r="A15" t="s">
        <v>759</v>
      </c>
      <c r="B15" t="s">
        <v>29</v>
      </c>
      <c r="C15">
        <v>2</v>
      </c>
      <c r="D15" t="s">
        <v>29</v>
      </c>
      <c r="E15" t="s">
        <v>23</v>
      </c>
      <c r="F15">
        <v>149565.38137244101</v>
      </c>
      <c r="G15">
        <v>149568.922544</v>
      </c>
      <c r="H15">
        <v>23.675851231363779</v>
      </c>
      <c r="I15">
        <v>93632757.4375</v>
      </c>
      <c r="J15">
        <v>4.9909760651034496</v>
      </c>
      <c r="K15">
        <v>2.2215193737690999</v>
      </c>
      <c r="L15">
        <v>62.2565046205345</v>
      </c>
      <c r="M15">
        <v>19</v>
      </c>
      <c r="N15" t="s">
        <v>91</v>
      </c>
      <c r="O15">
        <v>13</v>
      </c>
      <c r="P15">
        <v>2366.2042416887398</v>
      </c>
      <c r="Q15" t="s">
        <v>92</v>
      </c>
      <c r="R15">
        <v>14.3527937410667</v>
      </c>
      <c r="S15">
        <v>16.780246691999999</v>
      </c>
      <c r="T15">
        <v>15.21</v>
      </c>
      <c r="U15">
        <v>187265514.875</v>
      </c>
      <c r="V15">
        <v>19</v>
      </c>
      <c r="W15">
        <v>2.5282176009868129</v>
      </c>
    </row>
    <row r="16" spans="1:23">
      <c r="A16" t="s">
        <v>760</v>
      </c>
      <c r="B16" t="s">
        <v>19</v>
      </c>
      <c r="C16">
        <v>1</v>
      </c>
      <c r="D16" t="s">
        <v>19</v>
      </c>
      <c r="E16" t="s">
        <v>20</v>
      </c>
      <c r="F16">
        <v>147199.44158228801</v>
      </c>
      <c r="G16">
        <v>147199.42604399999</v>
      </c>
      <c r="H16">
        <v>0.105559421325848</v>
      </c>
      <c r="I16">
        <v>1901106566</v>
      </c>
      <c r="J16">
        <v>100</v>
      </c>
      <c r="K16">
        <v>42.575525210209101</v>
      </c>
      <c r="L16">
        <v>143.50286403314701</v>
      </c>
      <c r="M16">
        <v>40</v>
      </c>
      <c r="N16" t="s">
        <v>83</v>
      </c>
      <c r="O16">
        <v>16</v>
      </c>
      <c r="P16">
        <v>0</v>
      </c>
      <c r="Q16" t="s">
        <v>121</v>
      </c>
      <c r="R16">
        <v>14.426188499466701</v>
      </c>
      <c r="S16">
        <v>16.955767797333301</v>
      </c>
      <c r="T16">
        <v>15.22</v>
      </c>
      <c r="U16">
        <v>1901106566</v>
      </c>
      <c r="V16">
        <v>4</v>
      </c>
      <c r="W16">
        <v>48.265037377656427</v>
      </c>
    </row>
    <row r="17" spans="1:23">
      <c r="A17" t="s">
        <v>760</v>
      </c>
      <c r="B17" t="s">
        <v>19</v>
      </c>
      <c r="C17">
        <v>2</v>
      </c>
      <c r="D17" t="s">
        <v>19</v>
      </c>
      <c r="E17" t="s">
        <v>23</v>
      </c>
      <c r="F17">
        <v>147961.72876480399</v>
      </c>
      <c r="G17">
        <v>147961.428044</v>
      </c>
      <c r="H17">
        <v>2.0324228859672302</v>
      </c>
      <c r="I17">
        <v>570941933.5</v>
      </c>
      <c r="J17">
        <v>30.0320855628256</v>
      </c>
      <c r="K17">
        <v>12.786318159952399</v>
      </c>
      <c r="L17">
        <v>127.122482637975</v>
      </c>
      <c r="M17">
        <v>36</v>
      </c>
      <c r="N17" t="s">
        <v>122</v>
      </c>
      <c r="O17">
        <v>16</v>
      </c>
      <c r="P17">
        <v>762.28718251592397</v>
      </c>
      <c r="Q17" t="s">
        <v>121</v>
      </c>
      <c r="R17">
        <v>14.426188499466701</v>
      </c>
      <c r="S17">
        <v>16.955767797333301</v>
      </c>
      <c r="T17">
        <v>15.22</v>
      </c>
      <c r="U17">
        <v>1141883867</v>
      </c>
      <c r="V17">
        <v>9</v>
      </c>
      <c r="W17">
        <v>14.494996889537299</v>
      </c>
    </row>
    <row r="18" spans="1:23">
      <c r="A18" t="s">
        <v>760</v>
      </c>
      <c r="B18" t="s">
        <v>25</v>
      </c>
      <c r="C18">
        <v>1</v>
      </c>
      <c r="D18" t="s">
        <v>25</v>
      </c>
      <c r="E18" t="s">
        <v>20</v>
      </c>
      <c r="F18">
        <v>148642.92660005699</v>
      </c>
      <c r="G18">
        <v>148643.746044</v>
      </c>
      <c r="H18">
        <v>5.5128047080132028</v>
      </c>
      <c r="I18">
        <v>463118682.5</v>
      </c>
      <c r="J18">
        <v>24.360480260246501</v>
      </c>
      <c r="K18">
        <v>10.371602414529301</v>
      </c>
      <c r="L18">
        <v>91.533334895059397</v>
      </c>
      <c r="M18">
        <v>32</v>
      </c>
      <c r="N18" t="s">
        <v>87</v>
      </c>
      <c r="O18">
        <v>17</v>
      </c>
      <c r="P18">
        <v>1443.4850177693299</v>
      </c>
      <c r="Q18" t="s">
        <v>123</v>
      </c>
      <c r="R18">
        <v>14.300658556266701</v>
      </c>
      <c r="S18">
        <v>16.955767797333301</v>
      </c>
      <c r="T18">
        <v>15.22</v>
      </c>
      <c r="U18">
        <v>463118682.5</v>
      </c>
      <c r="V18">
        <v>14</v>
      </c>
      <c r="W18">
        <v>11.75759471926073</v>
      </c>
    </row>
    <row r="19" spans="1:23">
      <c r="A19" t="s">
        <v>760</v>
      </c>
      <c r="B19" t="s">
        <v>19</v>
      </c>
      <c r="C19">
        <v>0</v>
      </c>
      <c r="D19" t="s">
        <v>19</v>
      </c>
      <c r="E19" t="s">
        <v>27</v>
      </c>
      <c r="F19">
        <v>146437.52482935201</v>
      </c>
      <c r="G19">
        <v>146437.42404400001</v>
      </c>
      <c r="H19">
        <v>0.68824812611585795</v>
      </c>
      <c r="I19">
        <v>413822984.375</v>
      </c>
      <c r="J19">
        <v>21.767479364399598</v>
      </c>
      <c r="K19">
        <v>9.2676186644170109</v>
      </c>
      <c r="L19">
        <v>99.800943209940698</v>
      </c>
      <c r="M19">
        <v>35</v>
      </c>
      <c r="N19" t="s">
        <v>28</v>
      </c>
      <c r="O19">
        <v>16</v>
      </c>
      <c r="P19">
        <v>-761.91675293579499</v>
      </c>
      <c r="Q19" t="s">
        <v>121</v>
      </c>
      <c r="R19">
        <v>14.426188499466701</v>
      </c>
      <c r="S19">
        <v>16.955767797333301</v>
      </c>
      <c r="T19">
        <v>15.22</v>
      </c>
      <c r="U19">
        <v>0</v>
      </c>
      <c r="V19">
        <v>11</v>
      </c>
      <c r="W19">
        <v>10.50608217645423</v>
      </c>
    </row>
    <row r="20" spans="1:23">
      <c r="A20" t="s">
        <v>760</v>
      </c>
      <c r="B20" t="s">
        <v>29</v>
      </c>
      <c r="C20">
        <v>1</v>
      </c>
      <c r="D20" t="s">
        <v>29</v>
      </c>
      <c r="E20" t="s">
        <v>20</v>
      </c>
      <c r="F20">
        <v>148806.352893192</v>
      </c>
      <c r="G20">
        <v>148806.92054399999</v>
      </c>
      <c r="H20">
        <v>3.8146801635107859</v>
      </c>
      <c r="I20">
        <v>363992760.5</v>
      </c>
      <c r="J20">
        <v>19.146363035019402</v>
      </c>
      <c r="K20">
        <v>8.1516646208128503</v>
      </c>
      <c r="L20">
        <v>88.098963114821601</v>
      </c>
      <c r="M20">
        <v>28</v>
      </c>
      <c r="N20" t="s">
        <v>124</v>
      </c>
      <c r="O20">
        <v>16</v>
      </c>
      <c r="P20">
        <v>1606.91131090414</v>
      </c>
      <c r="Q20" t="s">
        <v>121</v>
      </c>
      <c r="R20">
        <v>14.426188499466701</v>
      </c>
      <c r="S20">
        <v>16.955767797333301</v>
      </c>
      <c r="T20">
        <v>15.22</v>
      </c>
      <c r="U20">
        <v>363992760.5</v>
      </c>
      <c r="V20">
        <v>17</v>
      </c>
      <c r="W20">
        <v>9.2409991659188471</v>
      </c>
    </row>
    <row r="21" spans="1:23">
      <c r="A21" t="s">
        <v>760</v>
      </c>
      <c r="B21" t="s">
        <v>29</v>
      </c>
      <c r="C21">
        <v>2</v>
      </c>
      <c r="D21" t="s">
        <v>29</v>
      </c>
      <c r="E21" t="s">
        <v>23</v>
      </c>
      <c r="F21">
        <v>149566.31897119901</v>
      </c>
      <c r="G21">
        <v>149568.922544</v>
      </c>
      <c r="H21">
        <v>17.407177618882791</v>
      </c>
      <c r="I21">
        <v>115505724.1875</v>
      </c>
      <c r="J21">
        <v>6.0757101980554502</v>
      </c>
      <c r="K21">
        <v>2.5867655270723402</v>
      </c>
      <c r="L21">
        <v>70.077115829341295</v>
      </c>
      <c r="M21">
        <v>22</v>
      </c>
      <c r="N21" t="s">
        <v>125</v>
      </c>
      <c r="O21">
        <v>15</v>
      </c>
      <c r="P21">
        <v>2366.87738891147</v>
      </c>
      <c r="Q21" t="s">
        <v>126</v>
      </c>
      <c r="R21">
        <v>14.426188499466701</v>
      </c>
      <c r="S21">
        <v>16.8065205157333</v>
      </c>
      <c r="T21">
        <v>15.22</v>
      </c>
      <c r="U21">
        <v>231011448.375</v>
      </c>
      <c r="V21">
        <v>19</v>
      </c>
      <c r="W21">
        <v>2.9324437645664112</v>
      </c>
    </row>
    <row r="22" spans="1:23">
      <c r="A22" t="s">
        <v>760</v>
      </c>
      <c r="B22" t="s">
        <v>25</v>
      </c>
      <c r="C22">
        <v>2</v>
      </c>
      <c r="D22" t="s">
        <v>25</v>
      </c>
      <c r="E22" t="s">
        <v>23</v>
      </c>
      <c r="F22">
        <v>149403.300260975</v>
      </c>
      <c r="G22">
        <v>149405.77804400001</v>
      </c>
      <c r="H22">
        <v>16.584251676530538</v>
      </c>
      <c r="I22">
        <v>110401007.5625</v>
      </c>
      <c r="J22">
        <v>5.8071971766384598</v>
      </c>
      <c r="K22">
        <v>2.4724446979462602</v>
      </c>
      <c r="L22">
        <v>49.475449914171101</v>
      </c>
      <c r="M22">
        <v>25</v>
      </c>
      <c r="N22" t="s">
        <v>89</v>
      </c>
      <c r="O22">
        <v>12</v>
      </c>
      <c r="P22">
        <v>2203.8586786865799</v>
      </c>
      <c r="Q22" t="s">
        <v>126</v>
      </c>
      <c r="R22">
        <v>14.426188499466701</v>
      </c>
      <c r="S22">
        <v>16.8065205157333</v>
      </c>
      <c r="T22">
        <v>15.22</v>
      </c>
      <c r="U22">
        <v>220802015.125</v>
      </c>
      <c r="V22">
        <v>16</v>
      </c>
      <c r="W22">
        <v>2.8028459066060538</v>
      </c>
    </row>
    <row r="23" spans="1:23">
      <c r="A23" t="s">
        <v>761</v>
      </c>
      <c r="B23" t="s">
        <v>19</v>
      </c>
      <c r="C23">
        <v>1</v>
      </c>
      <c r="D23" t="s">
        <v>19</v>
      </c>
      <c r="E23" t="s">
        <v>20</v>
      </c>
      <c r="F23">
        <v>147201.51302251601</v>
      </c>
      <c r="G23">
        <v>147199.42604399999</v>
      </c>
      <c r="H23">
        <v>14.177898461327731</v>
      </c>
      <c r="I23">
        <v>1196804659</v>
      </c>
      <c r="J23">
        <v>100</v>
      </c>
      <c r="K23">
        <v>42.609476345618098</v>
      </c>
      <c r="L23">
        <v>136.66690646116299</v>
      </c>
      <c r="M23">
        <v>35</v>
      </c>
      <c r="N23" t="s">
        <v>85</v>
      </c>
      <c r="O23">
        <v>13</v>
      </c>
      <c r="P23">
        <v>0</v>
      </c>
      <c r="Q23" t="s">
        <v>184</v>
      </c>
      <c r="R23">
        <v>14.3134908045333</v>
      </c>
      <c r="S23">
        <v>16.901494425066701</v>
      </c>
      <c r="T23">
        <v>15.29</v>
      </c>
      <c r="U23">
        <v>1196804659</v>
      </c>
      <c r="V23">
        <v>4</v>
      </c>
      <c r="W23">
        <v>47.647936290132677</v>
      </c>
    </row>
    <row r="24" spans="1:23">
      <c r="A24" t="s">
        <v>761</v>
      </c>
      <c r="B24" t="s">
        <v>19</v>
      </c>
      <c r="C24">
        <v>2</v>
      </c>
      <c r="D24" t="s">
        <v>19</v>
      </c>
      <c r="E24" t="s">
        <v>23</v>
      </c>
      <c r="F24">
        <v>147962.442227939</v>
      </c>
      <c r="G24">
        <v>147961.428044</v>
      </c>
      <c r="H24">
        <v>6.8543336005092899</v>
      </c>
      <c r="I24">
        <v>375426568.25</v>
      </c>
      <c r="J24">
        <v>31.369075819768199</v>
      </c>
      <c r="K24">
        <v>13.3661989412631</v>
      </c>
      <c r="L24">
        <v>131.714178636387</v>
      </c>
      <c r="M24">
        <v>34</v>
      </c>
      <c r="N24" t="s">
        <v>185</v>
      </c>
      <c r="O24">
        <v>13</v>
      </c>
      <c r="P24">
        <v>760.92920542339596</v>
      </c>
      <c r="Q24" t="s">
        <v>184</v>
      </c>
      <c r="R24">
        <v>14.3134908045333</v>
      </c>
      <c r="S24">
        <v>16.901494425066701</v>
      </c>
      <c r="T24">
        <v>15.29</v>
      </c>
      <c r="U24">
        <v>750853136.5</v>
      </c>
      <c r="V24">
        <v>9</v>
      </c>
      <c r="W24">
        <v>14.94671755417953</v>
      </c>
    </row>
    <row r="25" spans="1:23">
      <c r="A25" t="s">
        <v>761</v>
      </c>
      <c r="B25" t="s">
        <v>25</v>
      </c>
      <c r="C25">
        <v>1</v>
      </c>
      <c r="D25" t="s">
        <v>25</v>
      </c>
      <c r="E25" t="s">
        <v>20</v>
      </c>
      <c r="F25">
        <v>148645.63708699899</v>
      </c>
      <c r="G25">
        <v>148643.746044</v>
      </c>
      <c r="H25">
        <v>12.72198157890975</v>
      </c>
      <c r="I25">
        <v>288720431.625</v>
      </c>
      <c r="J25">
        <v>24.124273631511102</v>
      </c>
      <c r="K25">
        <v>10.279226666570899</v>
      </c>
      <c r="L25">
        <v>92.895142354834903</v>
      </c>
      <c r="M25">
        <v>32</v>
      </c>
      <c r="N25" t="s">
        <v>87</v>
      </c>
      <c r="O25">
        <v>13</v>
      </c>
      <c r="P25">
        <v>1444.1240644833599</v>
      </c>
      <c r="Q25" t="s">
        <v>184</v>
      </c>
      <c r="R25">
        <v>14.3134908045333</v>
      </c>
      <c r="S25">
        <v>16.901494425066701</v>
      </c>
      <c r="T25">
        <v>15.29</v>
      </c>
      <c r="U25">
        <v>288720431.625</v>
      </c>
      <c r="V25">
        <v>14</v>
      </c>
      <c r="W25">
        <v>11.49471856436649</v>
      </c>
    </row>
    <row r="26" spans="1:23">
      <c r="A26" t="s">
        <v>761</v>
      </c>
      <c r="B26" t="s">
        <v>19</v>
      </c>
      <c r="C26">
        <v>0</v>
      </c>
      <c r="D26" t="s">
        <v>19</v>
      </c>
      <c r="E26" t="s">
        <v>27</v>
      </c>
      <c r="F26">
        <v>146439.93488125899</v>
      </c>
      <c r="G26">
        <v>146437.42404400001</v>
      </c>
      <c r="H26">
        <v>17.145850694048899</v>
      </c>
      <c r="I26">
        <v>262356630.4375</v>
      </c>
      <c r="J26">
        <v>21.921423997937101</v>
      </c>
      <c r="K26">
        <v>9.3406039730236792</v>
      </c>
      <c r="L26">
        <v>87.854732834749896</v>
      </c>
      <c r="M26">
        <v>35</v>
      </c>
      <c r="N26" t="s">
        <v>186</v>
      </c>
      <c r="O26">
        <v>13</v>
      </c>
      <c r="P26">
        <v>-761.57814125684695</v>
      </c>
      <c r="Q26" t="s">
        <v>184</v>
      </c>
      <c r="R26">
        <v>14.3134908045333</v>
      </c>
      <c r="S26">
        <v>16.901494425066701</v>
      </c>
      <c r="T26">
        <v>15.29</v>
      </c>
      <c r="U26">
        <v>0</v>
      </c>
      <c r="V26">
        <v>11</v>
      </c>
      <c r="W26">
        <v>10.44510640761124</v>
      </c>
    </row>
    <row r="27" spans="1:23">
      <c r="A27" t="s">
        <v>761</v>
      </c>
      <c r="B27" t="s">
        <v>29</v>
      </c>
      <c r="C27">
        <v>1</v>
      </c>
      <c r="D27" t="s">
        <v>29</v>
      </c>
      <c r="E27" t="s">
        <v>20</v>
      </c>
      <c r="F27">
        <v>148807.80074363301</v>
      </c>
      <c r="G27">
        <v>148806.92054399999</v>
      </c>
      <c r="H27">
        <v>5.9150450113278978</v>
      </c>
      <c r="I27">
        <v>235753427.5</v>
      </c>
      <c r="J27">
        <v>19.698571841245101</v>
      </c>
      <c r="K27">
        <v>8.3934583091199393</v>
      </c>
      <c r="L27">
        <v>89.305357004501204</v>
      </c>
      <c r="M27">
        <v>28</v>
      </c>
      <c r="N27" t="s">
        <v>124</v>
      </c>
      <c r="O27">
        <v>13</v>
      </c>
      <c r="P27">
        <v>1606.2877211171401</v>
      </c>
      <c r="Q27" t="s">
        <v>184</v>
      </c>
      <c r="R27">
        <v>14.3134908045333</v>
      </c>
      <c r="S27">
        <v>16.901494425066701</v>
      </c>
      <c r="T27">
        <v>15.29</v>
      </c>
      <c r="U27">
        <v>235753427.5</v>
      </c>
      <c r="V27">
        <v>17</v>
      </c>
      <c r="W27">
        <v>9.3859630385182307</v>
      </c>
    </row>
    <row r="28" spans="1:23">
      <c r="A28" t="s">
        <v>761</v>
      </c>
      <c r="B28" t="s">
        <v>25</v>
      </c>
      <c r="C28">
        <v>2</v>
      </c>
      <c r="D28" t="s">
        <v>25</v>
      </c>
      <c r="E28" t="s">
        <v>23</v>
      </c>
      <c r="F28">
        <v>149405.96275235299</v>
      </c>
      <c r="G28">
        <v>149405.77804400001</v>
      </c>
      <c r="H28">
        <v>1.23628654396548</v>
      </c>
      <c r="I28">
        <v>78534140.75</v>
      </c>
      <c r="J28">
        <v>6.5619849358145297</v>
      </c>
      <c r="K28">
        <v>2.79602741902892</v>
      </c>
      <c r="L28">
        <v>60.549419870938699</v>
      </c>
      <c r="M28">
        <v>23</v>
      </c>
      <c r="N28" t="s">
        <v>187</v>
      </c>
      <c r="O28">
        <v>9</v>
      </c>
      <c r="P28">
        <v>2204.4497298371298</v>
      </c>
      <c r="Q28" t="s">
        <v>188</v>
      </c>
      <c r="R28">
        <v>14.4752068221333</v>
      </c>
      <c r="S28">
        <v>16.901494425066701</v>
      </c>
      <c r="T28">
        <v>15.29</v>
      </c>
      <c r="U28">
        <v>157068281.5</v>
      </c>
      <c r="V28">
        <v>16</v>
      </c>
      <c r="W28">
        <v>3.1266503743250489</v>
      </c>
    </row>
    <row r="29" spans="1:23">
      <c r="A29" t="s">
        <v>761</v>
      </c>
      <c r="B29" t="s">
        <v>29</v>
      </c>
      <c r="C29">
        <v>2</v>
      </c>
      <c r="D29" t="s">
        <v>29</v>
      </c>
      <c r="E29" t="s">
        <v>23</v>
      </c>
      <c r="F29">
        <v>149567.08899103</v>
      </c>
      <c r="G29">
        <v>149568.922544</v>
      </c>
      <c r="H29">
        <v>12.25891675096201</v>
      </c>
      <c r="I29">
        <v>74170133.125</v>
      </c>
      <c r="J29">
        <v>6.19734659373509</v>
      </c>
      <c r="K29">
        <v>2.6406569309135199</v>
      </c>
      <c r="L29">
        <v>57.3892137657771</v>
      </c>
      <c r="M29">
        <v>19</v>
      </c>
      <c r="N29" t="s">
        <v>91</v>
      </c>
      <c r="O29">
        <v>10</v>
      </c>
      <c r="P29">
        <v>2365.57596851364</v>
      </c>
      <c r="Q29" t="s">
        <v>189</v>
      </c>
      <c r="R29">
        <v>14.3134908045333</v>
      </c>
      <c r="S29">
        <v>16.420558485600001</v>
      </c>
      <c r="T29">
        <v>15.29</v>
      </c>
      <c r="U29">
        <v>148340266.25</v>
      </c>
      <c r="V29">
        <v>19</v>
      </c>
      <c r="W29">
        <v>2.9529077708667741</v>
      </c>
    </row>
    <row r="30" spans="1:23">
      <c r="A30" t="s">
        <v>762</v>
      </c>
      <c r="B30" t="s">
        <v>19</v>
      </c>
      <c r="C30">
        <v>1</v>
      </c>
      <c r="D30" t="s">
        <v>19</v>
      </c>
      <c r="E30" t="s">
        <v>20</v>
      </c>
      <c r="F30">
        <v>147205.01945301401</v>
      </c>
      <c r="G30">
        <v>147199.42604399999</v>
      </c>
      <c r="H30">
        <v>37.998850704416441</v>
      </c>
      <c r="I30">
        <v>685862654.5</v>
      </c>
      <c r="J30">
        <v>100</v>
      </c>
      <c r="K30">
        <v>42.061672561055502</v>
      </c>
      <c r="L30">
        <v>127.716855179126</v>
      </c>
      <c r="M30">
        <v>35</v>
      </c>
      <c r="N30" t="s">
        <v>28</v>
      </c>
      <c r="O30">
        <v>13</v>
      </c>
      <c r="P30">
        <v>0</v>
      </c>
      <c r="Q30" t="s">
        <v>229</v>
      </c>
      <c r="R30">
        <v>14.171607271199999</v>
      </c>
      <c r="S30">
        <v>16.841741571733301</v>
      </c>
      <c r="T30">
        <v>15.18</v>
      </c>
      <c r="U30">
        <v>685862654.5</v>
      </c>
      <c r="V30">
        <v>4</v>
      </c>
      <c r="W30">
        <v>47.327587833721509</v>
      </c>
    </row>
    <row r="31" spans="1:23">
      <c r="A31" t="s">
        <v>762</v>
      </c>
      <c r="B31" t="s">
        <v>19</v>
      </c>
      <c r="C31">
        <v>2</v>
      </c>
      <c r="D31" t="s">
        <v>19</v>
      </c>
      <c r="E31" t="s">
        <v>23</v>
      </c>
      <c r="F31">
        <v>147965.41054327899</v>
      </c>
      <c r="G31">
        <v>147961.428044</v>
      </c>
      <c r="H31">
        <v>26.915069303841701</v>
      </c>
      <c r="I31">
        <v>226180340</v>
      </c>
      <c r="J31">
        <v>32.9774980261897</v>
      </c>
      <c r="K31">
        <v>13.8708872386044</v>
      </c>
      <c r="L31">
        <v>122.053249202291</v>
      </c>
      <c r="M31">
        <v>38</v>
      </c>
      <c r="N31" t="s">
        <v>230</v>
      </c>
      <c r="O31">
        <v>13</v>
      </c>
      <c r="P31">
        <v>760.39109026579501</v>
      </c>
      <c r="Q31" t="s">
        <v>229</v>
      </c>
      <c r="R31">
        <v>14.171607271199999</v>
      </c>
      <c r="S31">
        <v>16.841741571733301</v>
      </c>
      <c r="T31">
        <v>15.34</v>
      </c>
      <c r="U31">
        <v>452360680</v>
      </c>
      <c r="V31">
        <v>9</v>
      </c>
      <c r="W31">
        <v>15.607454112536161</v>
      </c>
    </row>
    <row r="32" spans="1:23">
      <c r="A32" t="s">
        <v>762</v>
      </c>
      <c r="B32" t="s">
        <v>25</v>
      </c>
      <c r="C32">
        <v>1</v>
      </c>
      <c r="D32" t="s">
        <v>25</v>
      </c>
      <c r="E32" t="s">
        <v>20</v>
      </c>
      <c r="F32">
        <v>148647.96270854201</v>
      </c>
      <c r="G32">
        <v>148643.746044</v>
      </c>
      <c r="H32">
        <v>28.367587969421329</v>
      </c>
      <c r="I32">
        <v>149483671.8125</v>
      </c>
      <c r="J32">
        <v>21.794986132032101</v>
      </c>
      <c r="K32">
        <v>9.1673357015828003</v>
      </c>
      <c r="L32">
        <v>90.535324216842895</v>
      </c>
      <c r="M32">
        <v>26</v>
      </c>
      <c r="N32" t="s">
        <v>231</v>
      </c>
      <c r="O32">
        <v>13</v>
      </c>
      <c r="P32">
        <v>1442.9432555281401</v>
      </c>
      <c r="Q32" t="s">
        <v>229</v>
      </c>
      <c r="R32">
        <v>14.171607271199999</v>
      </c>
      <c r="S32">
        <v>16.841741571733301</v>
      </c>
      <c r="T32">
        <v>15.18</v>
      </c>
      <c r="U32">
        <v>149483671.8125</v>
      </c>
      <c r="V32">
        <v>14</v>
      </c>
      <c r="W32">
        <v>10.315041300172281</v>
      </c>
    </row>
    <row r="33" spans="1:23">
      <c r="A33" t="s">
        <v>762</v>
      </c>
      <c r="B33" t="s">
        <v>19</v>
      </c>
      <c r="C33">
        <v>0</v>
      </c>
      <c r="D33" t="s">
        <v>19</v>
      </c>
      <c r="E33" t="s">
        <v>27</v>
      </c>
      <c r="F33">
        <v>146443.27876290501</v>
      </c>
      <c r="G33">
        <v>146437.42404400001</v>
      </c>
      <c r="H33">
        <v>39.979430631216403</v>
      </c>
      <c r="I33">
        <v>147996162.375</v>
      </c>
      <c r="J33">
        <v>21.578104855444501</v>
      </c>
      <c r="K33">
        <v>9.0761118091782702</v>
      </c>
      <c r="L33">
        <v>79.761586202142695</v>
      </c>
      <c r="M33">
        <v>26</v>
      </c>
      <c r="N33" t="s">
        <v>232</v>
      </c>
      <c r="O33">
        <v>13</v>
      </c>
      <c r="P33">
        <v>-761.74069010882499</v>
      </c>
      <c r="Q33" t="s">
        <v>229</v>
      </c>
      <c r="R33">
        <v>14.171607271199999</v>
      </c>
      <c r="S33">
        <v>16.841741571733301</v>
      </c>
      <c r="T33">
        <v>15.34</v>
      </c>
      <c r="U33">
        <v>0</v>
      </c>
      <c r="V33">
        <v>11</v>
      </c>
      <c r="W33">
        <v>10.21239650227453</v>
      </c>
    </row>
    <row r="34" spans="1:23">
      <c r="A34" t="s">
        <v>762</v>
      </c>
      <c r="B34" t="s">
        <v>29</v>
      </c>
      <c r="C34">
        <v>1</v>
      </c>
      <c r="D34" t="s">
        <v>29</v>
      </c>
      <c r="E34" t="s">
        <v>20</v>
      </c>
      <c r="F34">
        <v>148810.465064513</v>
      </c>
      <c r="G34">
        <v>148806.92054399999</v>
      </c>
      <c r="H34">
        <v>23.819594546081511</v>
      </c>
      <c r="I34">
        <v>110761708.8125</v>
      </c>
      <c r="J34">
        <v>16.149255144568102</v>
      </c>
      <c r="K34">
        <v>6.7926468199576604</v>
      </c>
      <c r="L34">
        <v>85.558163940828805</v>
      </c>
      <c r="M34">
        <v>26</v>
      </c>
      <c r="N34" t="s">
        <v>232</v>
      </c>
      <c r="O34">
        <v>11</v>
      </c>
      <c r="P34">
        <v>1605.44561149983</v>
      </c>
      <c r="Q34" t="s">
        <v>233</v>
      </c>
      <c r="R34">
        <v>14.3370747744</v>
      </c>
      <c r="S34">
        <v>16.841741571733301</v>
      </c>
      <c r="T34">
        <v>15.34</v>
      </c>
      <c r="U34">
        <v>110761708.8125</v>
      </c>
      <c r="V34">
        <v>17</v>
      </c>
      <c r="W34">
        <v>7.6430528299550087</v>
      </c>
    </row>
    <row r="35" spans="1:23">
      <c r="A35" t="s">
        <v>762</v>
      </c>
      <c r="B35" t="s">
        <v>25</v>
      </c>
      <c r="C35">
        <v>2</v>
      </c>
      <c r="D35" t="s">
        <v>25</v>
      </c>
      <c r="E35" t="s">
        <v>23</v>
      </c>
      <c r="F35">
        <v>149414.18695088901</v>
      </c>
      <c r="G35">
        <v>149405.77804400001</v>
      </c>
      <c r="H35">
        <v>56.282340610187873</v>
      </c>
      <c r="I35">
        <v>46976745.625</v>
      </c>
      <c r="J35">
        <v>6.8492934762680298</v>
      </c>
      <c r="K35">
        <v>2.8809273947335901</v>
      </c>
      <c r="L35">
        <v>55.696290123352199</v>
      </c>
      <c r="M35">
        <v>18</v>
      </c>
      <c r="N35" t="s">
        <v>43</v>
      </c>
      <c r="O35">
        <v>9</v>
      </c>
      <c r="P35">
        <v>2209.16749787549</v>
      </c>
      <c r="Q35" t="s">
        <v>234</v>
      </c>
      <c r="R35">
        <v>14.5049374613333</v>
      </c>
      <c r="S35">
        <v>16.513452390400001</v>
      </c>
      <c r="T35">
        <v>15.34</v>
      </c>
      <c r="U35">
        <v>93953491.25</v>
      </c>
      <c r="V35">
        <v>16</v>
      </c>
      <c r="W35">
        <v>3.2416053565861271</v>
      </c>
    </row>
    <row r="36" spans="1:23">
      <c r="A36" t="s">
        <v>762</v>
      </c>
      <c r="B36" t="s">
        <v>29</v>
      </c>
      <c r="C36">
        <v>2</v>
      </c>
      <c r="D36" t="s">
        <v>29</v>
      </c>
      <c r="E36" t="s">
        <v>23</v>
      </c>
      <c r="F36">
        <v>149569.34737841701</v>
      </c>
      <c r="G36">
        <v>149568.922544</v>
      </c>
      <c r="H36">
        <v>2.8403923072965021</v>
      </c>
      <c r="I36">
        <v>41025054.625</v>
      </c>
      <c r="J36">
        <v>5.98152633638915</v>
      </c>
      <c r="K36">
        <v>2.5159300217652998</v>
      </c>
      <c r="L36">
        <v>55.876490244474603</v>
      </c>
      <c r="M36">
        <v>18</v>
      </c>
      <c r="N36" t="s">
        <v>235</v>
      </c>
      <c r="O36">
        <v>8</v>
      </c>
      <c r="P36">
        <v>2364.3279254028998</v>
      </c>
      <c r="Q36" t="s">
        <v>236</v>
      </c>
      <c r="R36">
        <v>14.5049374613333</v>
      </c>
      <c r="S36">
        <v>16.345999915733302</v>
      </c>
      <c r="T36">
        <v>15.18</v>
      </c>
      <c r="U36">
        <v>82050109.25</v>
      </c>
      <c r="V36">
        <v>19</v>
      </c>
      <c r="W36">
        <v>2.830912083357807</v>
      </c>
    </row>
    <row r="37" spans="1:23">
      <c r="A37" t="s">
        <v>762</v>
      </c>
      <c r="B37" t="s">
        <v>19</v>
      </c>
      <c r="C37">
        <v>0</v>
      </c>
      <c r="D37" t="s">
        <v>19</v>
      </c>
      <c r="E37" t="s">
        <v>190</v>
      </c>
      <c r="F37">
        <v>147355.89557263901</v>
      </c>
      <c r="G37">
        <v>147356.59204399999</v>
      </c>
      <c r="H37">
        <v>4.7264573868368398</v>
      </c>
      <c r="I37">
        <v>40895177.5</v>
      </c>
      <c r="J37">
        <v>5.9625898808662496</v>
      </c>
      <c r="K37">
        <v>2.50796503184859</v>
      </c>
      <c r="L37">
        <v>65.202198074319995</v>
      </c>
      <c r="M37">
        <v>20</v>
      </c>
      <c r="N37" t="s">
        <v>237</v>
      </c>
      <c r="O37">
        <v>9</v>
      </c>
      <c r="P37">
        <v>150.876119625347</v>
      </c>
      <c r="Q37" t="s">
        <v>238</v>
      </c>
      <c r="R37">
        <v>14.3370747744</v>
      </c>
      <c r="S37">
        <v>16.345999915733302</v>
      </c>
      <c r="T37">
        <v>15.18</v>
      </c>
      <c r="U37">
        <v>0</v>
      </c>
      <c r="V37">
        <v>10</v>
      </c>
      <c r="W37">
        <v>2.821949981396576</v>
      </c>
    </row>
    <row r="38" spans="1:23">
      <c r="A38" t="s">
        <v>763</v>
      </c>
      <c r="B38" t="s">
        <v>19</v>
      </c>
      <c r="C38">
        <v>1</v>
      </c>
      <c r="D38" t="s">
        <v>19</v>
      </c>
      <c r="E38" t="s">
        <v>269</v>
      </c>
      <c r="F38">
        <v>147207.471677958</v>
      </c>
      <c r="G38">
        <v>147217.42604399999</v>
      </c>
      <c r="H38">
        <v>67.61676460103665</v>
      </c>
      <c r="I38">
        <v>500530329.5</v>
      </c>
      <c r="J38">
        <v>100</v>
      </c>
      <c r="K38">
        <v>40.106531311035198</v>
      </c>
      <c r="L38">
        <v>124.39198402421199</v>
      </c>
      <c r="M38">
        <v>34</v>
      </c>
      <c r="N38" t="s">
        <v>270</v>
      </c>
      <c r="O38">
        <v>12</v>
      </c>
      <c r="P38">
        <v>0</v>
      </c>
      <c r="Q38" t="s">
        <v>271</v>
      </c>
      <c r="R38">
        <v>14.216360261066701</v>
      </c>
      <c r="S38">
        <v>16.8744408298667</v>
      </c>
      <c r="T38">
        <v>15.27</v>
      </c>
      <c r="U38">
        <v>500530329.5</v>
      </c>
      <c r="V38">
        <v>5</v>
      </c>
      <c r="W38">
        <v>50.986821779641573</v>
      </c>
    </row>
    <row r="39" spans="1:23">
      <c r="A39" t="s">
        <v>763</v>
      </c>
      <c r="B39" t="s">
        <v>19</v>
      </c>
      <c r="C39">
        <v>2</v>
      </c>
      <c r="D39" t="s">
        <v>19</v>
      </c>
      <c r="E39" t="s">
        <v>23</v>
      </c>
      <c r="F39">
        <v>147967.97788408099</v>
      </c>
      <c r="G39">
        <v>147961.428044</v>
      </c>
      <c r="H39">
        <v>44.267213202623353</v>
      </c>
      <c r="I39">
        <v>167587455.0625</v>
      </c>
      <c r="J39">
        <v>33.481977568809199</v>
      </c>
      <c r="K39">
        <v>13.428459817188299</v>
      </c>
      <c r="L39">
        <v>124.473919487797</v>
      </c>
      <c r="M39">
        <v>45</v>
      </c>
      <c r="N39" t="s">
        <v>272</v>
      </c>
      <c r="O39">
        <v>12</v>
      </c>
      <c r="P39">
        <v>760.50620612382795</v>
      </c>
      <c r="Q39" t="s">
        <v>271</v>
      </c>
      <c r="R39">
        <v>14.216360261066701</v>
      </c>
      <c r="S39">
        <v>16.8744408298667</v>
      </c>
      <c r="T39">
        <v>15.27</v>
      </c>
      <c r="U39">
        <v>335174910.125</v>
      </c>
      <c r="V39">
        <v>9</v>
      </c>
      <c r="W39">
        <v>17.071396477234611</v>
      </c>
    </row>
    <row r="40" spans="1:23">
      <c r="A40" t="s">
        <v>763</v>
      </c>
      <c r="B40" t="s">
        <v>25</v>
      </c>
      <c r="C40">
        <v>1</v>
      </c>
      <c r="D40" t="s">
        <v>25</v>
      </c>
      <c r="E40" t="s">
        <v>20</v>
      </c>
      <c r="F40">
        <v>148651.997258752</v>
      </c>
      <c r="G40">
        <v>148643.746044</v>
      </c>
      <c r="H40">
        <v>55.510002752220807</v>
      </c>
      <c r="I40">
        <v>108818937.5</v>
      </c>
      <c r="J40">
        <v>21.740727876352398</v>
      </c>
      <c r="K40">
        <v>8.7194518329762403</v>
      </c>
      <c r="L40">
        <v>74.135631157549099</v>
      </c>
      <c r="M40">
        <v>24</v>
      </c>
      <c r="N40" t="s">
        <v>273</v>
      </c>
      <c r="O40">
        <v>12</v>
      </c>
      <c r="P40">
        <v>1444.52558079452</v>
      </c>
      <c r="Q40" t="s">
        <v>271</v>
      </c>
      <c r="R40">
        <v>14.216360261066701</v>
      </c>
      <c r="S40">
        <v>16.8744408298667</v>
      </c>
      <c r="T40">
        <v>15.27</v>
      </c>
      <c r="U40">
        <v>108818937.5</v>
      </c>
      <c r="V40">
        <v>14</v>
      </c>
      <c r="W40">
        <v>11.084906239557769</v>
      </c>
    </row>
    <row r="41" spans="1:23">
      <c r="A41" t="s">
        <v>763</v>
      </c>
      <c r="B41" t="s">
        <v>19</v>
      </c>
      <c r="C41">
        <v>0</v>
      </c>
      <c r="D41" t="s">
        <v>19</v>
      </c>
      <c r="E41" t="s">
        <v>27</v>
      </c>
      <c r="F41">
        <v>146444.68140398199</v>
      </c>
      <c r="G41">
        <v>146437.42404400001</v>
      </c>
      <c r="H41">
        <v>49.557006185345102</v>
      </c>
      <c r="I41">
        <v>106750211.625</v>
      </c>
      <c r="J41">
        <v>21.327420692285301</v>
      </c>
      <c r="K41">
        <v>8.5536886577876103</v>
      </c>
      <c r="L41">
        <v>92.338515998585194</v>
      </c>
      <c r="M41">
        <v>23</v>
      </c>
      <c r="N41" t="s">
        <v>274</v>
      </c>
      <c r="O41">
        <v>12</v>
      </c>
      <c r="P41">
        <v>-762.79027397526102</v>
      </c>
      <c r="Q41" t="s">
        <v>271</v>
      </c>
      <c r="R41">
        <v>14.216360261066701</v>
      </c>
      <c r="S41">
        <v>16.8744408298667</v>
      </c>
      <c r="T41">
        <v>15.27</v>
      </c>
      <c r="U41">
        <v>0</v>
      </c>
      <c r="V41">
        <v>11</v>
      </c>
      <c r="W41">
        <v>10.874174239351261</v>
      </c>
    </row>
    <row r="42" spans="1:23">
      <c r="A42" t="s">
        <v>763</v>
      </c>
      <c r="B42" t="s">
        <v>29</v>
      </c>
      <c r="C42">
        <v>1</v>
      </c>
      <c r="D42" t="s">
        <v>29</v>
      </c>
      <c r="E42" t="s">
        <v>20</v>
      </c>
      <c r="F42">
        <v>148812.45680046201</v>
      </c>
      <c r="G42">
        <v>148806.92054399999</v>
      </c>
      <c r="H42">
        <v>37.204294274596293</v>
      </c>
      <c r="I42">
        <v>97998749.0625</v>
      </c>
      <c r="J42">
        <v>19.578982835376099</v>
      </c>
      <c r="K42">
        <v>7.8524508812523104</v>
      </c>
      <c r="L42">
        <v>73.887164417995095</v>
      </c>
      <c r="M42">
        <v>22</v>
      </c>
      <c r="N42" t="s">
        <v>275</v>
      </c>
      <c r="O42">
        <v>11</v>
      </c>
      <c r="P42">
        <v>1604.9851225043501</v>
      </c>
      <c r="Q42" t="s">
        <v>271</v>
      </c>
      <c r="R42">
        <v>14.216360261066701</v>
      </c>
      <c r="S42">
        <v>16.8744408298667</v>
      </c>
      <c r="T42">
        <v>15.27</v>
      </c>
      <c r="U42">
        <v>97998749.0625</v>
      </c>
      <c r="V42">
        <v>17</v>
      </c>
      <c r="W42">
        <v>9.982701264214807</v>
      </c>
    </row>
    <row r="43" spans="1:23">
      <c r="A43" t="s">
        <v>764</v>
      </c>
      <c r="B43" t="s">
        <v>19</v>
      </c>
      <c r="C43">
        <v>1</v>
      </c>
      <c r="D43" t="s">
        <v>19</v>
      </c>
      <c r="E43" t="s">
        <v>269</v>
      </c>
      <c r="F43">
        <v>147213.918257413</v>
      </c>
      <c r="G43">
        <v>147217.42604399999</v>
      </c>
      <c r="H43">
        <v>23.827251170311179</v>
      </c>
      <c r="I43">
        <v>322225661.125</v>
      </c>
      <c r="J43">
        <v>100</v>
      </c>
      <c r="K43">
        <v>39.859950474511599</v>
      </c>
      <c r="L43">
        <v>108.838258098596</v>
      </c>
      <c r="M43">
        <v>30</v>
      </c>
      <c r="N43" t="s">
        <v>309</v>
      </c>
      <c r="O43">
        <v>13</v>
      </c>
      <c r="P43">
        <v>0</v>
      </c>
      <c r="Q43" t="s">
        <v>310</v>
      </c>
      <c r="R43">
        <v>14.168347755733301</v>
      </c>
      <c r="S43">
        <v>16.843579982133299</v>
      </c>
      <c r="T43">
        <v>15.18</v>
      </c>
      <c r="U43">
        <v>322225661.125</v>
      </c>
      <c r="V43">
        <v>5</v>
      </c>
      <c r="W43">
        <v>49.261861084733077</v>
      </c>
    </row>
    <row r="44" spans="1:23">
      <c r="A44" t="s">
        <v>764</v>
      </c>
      <c r="B44" t="s">
        <v>19</v>
      </c>
      <c r="C44">
        <v>2</v>
      </c>
      <c r="D44" t="s">
        <v>19</v>
      </c>
      <c r="E44" t="s">
        <v>247</v>
      </c>
      <c r="F44">
        <v>147977.641830582</v>
      </c>
      <c r="G44">
        <v>147979.44304400001</v>
      </c>
      <c r="H44">
        <v>12.172199773846801</v>
      </c>
      <c r="I44">
        <v>130416572.625</v>
      </c>
      <c r="J44">
        <v>40.473676839466997</v>
      </c>
      <c r="K44">
        <v>16.132787543425401</v>
      </c>
      <c r="L44">
        <v>112.723603682796</v>
      </c>
      <c r="M44">
        <v>27</v>
      </c>
      <c r="N44" t="s">
        <v>311</v>
      </c>
      <c r="O44">
        <v>11</v>
      </c>
      <c r="P44">
        <v>763.72357316891396</v>
      </c>
      <c r="Q44" t="s">
        <v>312</v>
      </c>
      <c r="R44">
        <v>14.339320940266701</v>
      </c>
      <c r="S44">
        <v>16.6818061976</v>
      </c>
      <c r="T44">
        <v>15.18</v>
      </c>
      <c r="U44">
        <v>260833145.25</v>
      </c>
      <c r="V44">
        <v>3</v>
      </c>
      <c r="W44">
        <v>19.93808643721734</v>
      </c>
    </row>
    <row r="45" spans="1:23">
      <c r="A45" t="s">
        <v>764</v>
      </c>
      <c r="B45" t="s">
        <v>19</v>
      </c>
      <c r="C45">
        <v>0</v>
      </c>
      <c r="D45" t="s">
        <v>19</v>
      </c>
      <c r="E45" t="s">
        <v>313</v>
      </c>
      <c r="F45">
        <v>146452.04869579</v>
      </c>
      <c r="G45">
        <v>146455.42604399999</v>
      </c>
      <c r="H45">
        <v>23.06058779261992</v>
      </c>
      <c r="I45">
        <v>74972313.5625</v>
      </c>
      <c r="J45">
        <v>23.267021402771501</v>
      </c>
      <c r="K45">
        <v>9.2742232080387303</v>
      </c>
      <c r="L45">
        <v>73.4090909369</v>
      </c>
      <c r="M45">
        <v>20</v>
      </c>
      <c r="N45" t="s">
        <v>314</v>
      </c>
      <c r="O45">
        <v>11</v>
      </c>
      <c r="P45">
        <v>-761.86956162319996</v>
      </c>
      <c r="Q45" t="s">
        <v>315</v>
      </c>
      <c r="R45">
        <v>14.339320940266701</v>
      </c>
      <c r="S45">
        <v>16.843579982133299</v>
      </c>
      <c r="T45">
        <v>15.18</v>
      </c>
      <c r="U45">
        <v>0</v>
      </c>
      <c r="V45">
        <v>7</v>
      </c>
      <c r="W45">
        <v>11.46176776555423</v>
      </c>
    </row>
    <row r="46" spans="1:23">
      <c r="A46" t="s">
        <v>764</v>
      </c>
      <c r="B46" t="s">
        <v>25</v>
      </c>
      <c r="C46">
        <v>1</v>
      </c>
      <c r="D46" t="s">
        <v>25</v>
      </c>
      <c r="E46" t="s">
        <v>269</v>
      </c>
      <c r="F46">
        <v>148660.69936956899</v>
      </c>
      <c r="G46">
        <v>148661.746044</v>
      </c>
      <c r="H46">
        <v>7.0406440046844789</v>
      </c>
      <c r="I46">
        <v>62218598.6875</v>
      </c>
      <c r="J46">
        <v>19.309014135252099</v>
      </c>
      <c r="K46">
        <v>7.6965634714279201</v>
      </c>
      <c r="L46">
        <v>70.4019158663681</v>
      </c>
      <c r="M46">
        <v>17</v>
      </c>
      <c r="N46" t="s">
        <v>316</v>
      </c>
      <c r="O46">
        <v>10</v>
      </c>
      <c r="P46">
        <v>1446.7811121564901</v>
      </c>
      <c r="Q46" t="s">
        <v>312</v>
      </c>
      <c r="R46">
        <v>14.339320940266701</v>
      </c>
      <c r="S46">
        <v>16.6818061976</v>
      </c>
      <c r="T46">
        <v>15.18</v>
      </c>
      <c r="U46">
        <v>62218598.6875</v>
      </c>
      <c r="V46">
        <v>15</v>
      </c>
      <c r="W46">
        <v>9.5119797558313746</v>
      </c>
    </row>
    <row r="47" spans="1:23">
      <c r="A47" t="s">
        <v>764</v>
      </c>
      <c r="B47" t="s">
        <v>29</v>
      </c>
      <c r="C47">
        <v>1</v>
      </c>
      <c r="D47" t="s">
        <v>29</v>
      </c>
      <c r="E47" t="s">
        <v>269</v>
      </c>
      <c r="F47">
        <v>148820.84655273001</v>
      </c>
      <c r="G47">
        <v>148823.88604400001</v>
      </c>
      <c r="H47">
        <v>20.423410184980561</v>
      </c>
      <c r="I47">
        <v>40865347.9375</v>
      </c>
      <c r="J47">
        <v>12.682214109083899</v>
      </c>
      <c r="K47">
        <v>5.05512426295238</v>
      </c>
      <c r="L47">
        <v>98.077078334968306</v>
      </c>
      <c r="M47">
        <v>22</v>
      </c>
      <c r="N47" t="s">
        <v>317</v>
      </c>
      <c r="O47">
        <v>6</v>
      </c>
      <c r="P47">
        <v>1606.9282953168399</v>
      </c>
      <c r="Q47" t="s">
        <v>312</v>
      </c>
      <c r="R47">
        <v>14.339320940266701</v>
      </c>
      <c r="S47">
        <v>16.6818061976</v>
      </c>
      <c r="T47">
        <v>15.51</v>
      </c>
      <c r="U47">
        <v>40865347.9375</v>
      </c>
      <c r="V47">
        <v>18</v>
      </c>
      <c r="W47">
        <v>6.2474946478439266</v>
      </c>
    </row>
    <row r="48" spans="1:23">
      <c r="A48" t="s">
        <v>764</v>
      </c>
      <c r="B48" t="s">
        <v>61</v>
      </c>
      <c r="C48">
        <v>1</v>
      </c>
      <c r="D48" t="s">
        <v>61</v>
      </c>
      <c r="E48" t="s">
        <v>280</v>
      </c>
      <c r="F48">
        <v>147365.96031859401</v>
      </c>
      <c r="G48">
        <v>147363.629044</v>
      </c>
      <c r="H48">
        <v>15.8196274720204</v>
      </c>
      <c r="I48">
        <v>23409276.3125</v>
      </c>
      <c r="J48">
        <v>7.2648702042012498</v>
      </c>
      <c r="K48">
        <v>2.89577366543217</v>
      </c>
      <c r="L48">
        <v>67.038696503620599</v>
      </c>
      <c r="M48">
        <v>18</v>
      </c>
      <c r="N48" t="s">
        <v>43</v>
      </c>
      <c r="O48">
        <v>8</v>
      </c>
      <c r="P48">
        <v>152.042061181652</v>
      </c>
      <c r="Q48" t="s">
        <v>322</v>
      </c>
      <c r="R48">
        <v>14.508544984</v>
      </c>
      <c r="S48">
        <v>16.5145786456</v>
      </c>
      <c r="T48">
        <v>15.34</v>
      </c>
      <c r="U48">
        <v>23409276.3125</v>
      </c>
      <c r="V48">
        <v>2</v>
      </c>
      <c r="W48">
        <v>3.5788103088200551</v>
      </c>
    </row>
    <row r="49" spans="1:23">
      <c r="A49" t="s">
        <v>765</v>
      </c>
      <c r="B49" t="s">
        <v>19</v>
      </c>
      <c r="C49">
        <v>1</v>
      </c>
      <c r="D49" t="s">
        <v>19</v>
      </c>
      <c r="E49" t="s">
        <v>345</v>
      </c>
      <c r="F49">
        <v>147239.589995652</v>
      </c>
      <c r="G49">
        <v>147235.42604399999</v>
      </c>
      <c r="H49">
        <v>28.28090877234769</v>
      </c>
      <c r="I49">
        <v>126920310.375</v>
      </c>
      <c r="J49">
        <v>100</v>
      </c>
      <c r="K49">
        <v>28.7712877602474</v>
      </c>
      <c r="L49">
        <v>87.456754345137398</v>
      </c>
      <c r="M49">
        <v>26</v>
      </c>
      <c r="N49" t="s">
        <v>232</v>
      </c>
      <c r="O49">
        <v>13</v>
      </c>
      <c r="P49">
        <v>0</v>
      </c>
      <c r="Q49" t="s">
        <v>346</v>
      </c>
      <c r="R49">
        <v>14.439250899999999</v>
      </c>
      <c r="S49">
        <v>16.544367662666701</v>
      </c>
      <c r="T49">
        <v>15.07</v>
      </c>
      <c r="U49">
        <v>126920310.375</v>
      </c>
      <c r="V49">
        <v>6</v>
      </c>
      <c r="W49">
        <v>34.94044568153685</v>
      </c>
    </row>
    <row r="50" spans="1:23">
      <c r="A50" t="s">
        <v>765</v>
      </c>
      <c r="B50" t="s">
        <v>347</v>
      </c>
      <c r="C50">
        <v>1</v>
      </c>
      <c r="D50" t="s">
        <v>347</v>
      </c>
      <c r="E50" t="s">
        <v>345</v>
      </c>
      <c r="F50">
        <v>147252.21631621299</v>
      </c>
      <c r="G50">
        <v>147251.42204400001</v>
      </c>
      <c r="H50">
        <v>5.3939867062450384</v>
      </c>
      <c r="I50">
        <v>82442366</v>
      </c>
      <c r="J50">
        <v>64.956005489778903</v>
      </c>
      <c r="K50">
        <v>18.688679257026401</v>
      </c>
      <c r="L50">
        <v>82.933477024360997</v>
      </c>
      <c r="M50">
        <v>24</v>
      </c>
      <c r="N50" t="s">
        <v>348</v>
      </c>
      <c r="O50">
        <v>6</v>
      </c>
      <c r="P50">
        <v>12.626320561423199</v>
      </c>
      <c r="Q50" t="s">
        <v>349</v>
      </c>
      <c r="R50">
        <v>14.543077948000001</v>
      </c>
      <c r="S50">
        <v>15.7059098304</v>
      </c>
      <c r="T50">
        <v>15.28</v>
      </c>
      <c r="U50">
        <v>82442366</v>
      </c>
      <c r="V50">
        <v>13</v>
      </c>
      <c r="W50">
        <v>22.695918427629209</v>
      </c>
    </row>
    <row r="51" spans="1:23">
      <c r="A51" t="s">
        <v>765</v>
      </c>
      <c r="B51" t="s">
        <v>19</v>
      </c>
      <c r="C51">
        <v>1</v>
      </c>
      <c r="D51" t="s">
        <v>19</v>
      </c>
      <c r="E51" t="s">
        <v>280</v>
      </c>
      <c r="F51">
        <v>147226.56571783801</v>
      </c>
      <c r="G51">
        <v>147235.45604399999</v>
      </c>
      <c r="H51">
        <v>60.385339552658799</v>
      </c>
      <c r="I51">
        <v>53727241.46875</v>
      </c>
      <c r="J51">
        <v>42.331476914702101</v>
      </c>
      <c r="K51">
        <v>12.179311036291599</v>
      </c>
      <c r="L51">
        <v>74.861321222261907</v>
      </c>
      <c r="M51">
        <v>19</v>
      </c>
      <c r="N51" t="s">
        <v>350</v>
      </c>
      <c r="O51">
        <v>9</v>
      </c>
      <c r="P51">
        <v>-13.0242778135871</v>
      </c>
      <c r="Q51" t="s">
        <v>351</v>
      </c>
      <c r="R51">
        <v>15.075014960000001</v>
      </c>
      <c r="S51">
        <v>16.956100773066701</v>
      </c>
      <c r="T51">
        <v>15.39</v>
      </c>
      <c r="U51">
        <v>53727241.46875</v>
      </c>
      <c r="V51">
        <v>8</v>
      </c>
      <c r="W51">
        <v>14.79080658258021</v>
      </c>
    </row>
    <row r="52" spans="1:23">
      <c r="A52" t="s">
        <v>765</v>
      </c>
      <c r="B52" t="s">
        <v>19</v>
      </c>
      <c r="C52">
        <v>2</v>
      </c>
      <c r="D52" t="s">
        <v>19</v>
      </c>
      <c r="E52" t="s">
        <v>287</v>
      </c>
      <c r="F52">
        <v>147997.76546599501</v>
      </c>
      <c r="G52">
        <v>147997.458044</v>
      </c>
      <c r="H52">
        <v>2.0772070018667201</v>
      </c>
      <c r="I52">
        <v>42842891.4375</v>
      </c>
      <c r="J52">
        <v>33.755739964534797</v>
      </c>
      <c r="K52">
        <v>9.7119610807971508</v>
      </c>
      <c r="L52">
        <v>61.687084374113503</v>
      </c>
      <c r="M52">
        <v>17</v>
      </c>
      <c r="N52" t="s">
        <v>352</v>
      </c>
      <c r="O52">
        <v>8</v>
      </c>
      <c r="P52">
        <v>758.17547034312202</v>
      </c>
      <c r="Q52" t="s">
        <v>353</v>
      </c>
      <c r="R52">
        <v>14.543077948000001</v>
      </c>
      <c r="S52">
        <v>16.3347487714667</v>
      </c>
      <c r="T52">
        <v>15.07</v>
      </c>
      <c r="U52">
        <v>85685782.875</v>
      </c>
      <c r="V52">
        <v>12</v>
      </c>
      <c r="W52">
        <v>11.794406401064149</v>
      </c>
    </row>
    <row r="53" spans="1:23">
      <c r="A53" t="s">
        <v>765</v>
      </c>
      <c r="B53" t="s">
        <v>61</v>
      </c>
      <c r="C53">
        <v>0</v>
      </c>
      <c r="D53" t="s">
        <v>61</v>
      </c>
      <c r="E53" t="s">
        <v>62</v>
      </c>
      <c r="F53">
        <v>147304.47380189999</v>
      </c>
      <c r="G53">
        <v>147299.49804400001</v>
      </c>
      <c r="H53">
        <v>33.778728989467098</v>
      </c>
      <c r="I53">
        <v>23206312.5</v>
      </c>
      <c r="J53">
        <v>18.284159107932901</v>
      </c>
      <c r="K53">
        <v>5.2605880314848497</v>
      </c>
      <c r="L53">
        <v>55.872036694262597</v>
      </c>
      <c r="M53">
        <v>15</v>
      </c>
      <c r="N53" t="s">
        <v>63</v>
      </c>
      <c r="O53">
        <v>3</v>
      </c>
      <c r="P53">
        <v>64.883806247933506</v>
      </c>
      <c r="Q53" t="s">
        <v>354</v>
      </c>
      <c r="R53">
        <v>14.865580648</v>
      </c>
      <c r="S53">
        <v>15.494623367999999</v>
      </c>
      <c r="T53">
        <v>15.18</v>
      </c>
      <c r="U53">
        <v>0</v>
      </c>
      <c r="V53">
        <v>1</v>
      </c>
      <c r="W53">
        <v>10.562167473657141</v>
      </c>
    </row>
    <row r="54" spans="1:23">
      <c r="A54" t="s">
        <v>765</v>
      </c>
      <c r="B54" t="s">
        <v>61</v>
      </c>
      <c r="C54">
        <v>0</v>
      </c>
      <c r="D54" t="s">
        <v>61</v>
      </c>
      <c r="E54" t="s">
        <v>62</v>
      </c>
      <c r="F54">
        <v>147299.869274089</v>
      </c>
      <c r="G54">
        <v>147299.49804400001</v>
      </c>
      <c r="H54">
        <v>2.5202336586912701</v>
      </c>
      <c r="I54">
        <v>15160501.3125</v>
      </c>
      <c r="J54">
        <v>11.944897699586001</v>
      </c>
      <c r="K54">
        <v>3.4367008898150502</v>
      </c>
      <c r="L54">
        <v>52.858972233469601</v>
      </c>
      <c r="M54">
        <v>14</v>
      </c>
      <c r="N54" t="s">
        <v>195</v>
      </c>
      <c r="O54">
        <v>4</v>
      </c>
      <c r="P54">
        <v>60.279278436908498</v>
      </c>
      <c r="Q54" t="s">
        <v>358</v>
      </c>
      <c r="R54">
        <v>14.543077948000001</v>
      </c>
      <c r="S54">
        <v>16.761441903733299</v>
      </c>
      <c r="T54">
        <v>15.39</v>
      </c>
      <c r="U54">
        <v>0</v>
      </c>
      <c r="V54">
        <v>1</v>
      </c>
      <c r="W54">
        <v>10.562167473657141</v>
      </c>
    </row>
    <row r="55" spans="1:23">
      <c r="A55" t="s">
        <v>765</v>
      </c>
      <c r="B55" t="s">
        <v>144</v>
      </c>
      <c r="C55">
        <v>0</v>
      </c>
      <c r="D55" t="s">
        <v>144</v>
      </c>
      <c r="E55" t="s">
        <v>216</v>
      </c>
      <c r="F55">
        <v>147319.45796211399</v>
      </c>
      <c r="G55">
        <v>147322.57804399999</v>
      </c>
      <c r="H55">
        <v>21.179020947305201</v>
      </c>
      <c r="I55">
        <v>11247192.5</v>
      </c>
      <c r="J55">
        <v>8.8616172661432895</v>
      </c>
      <c r="K55">
        <v>2.5496014038538499</v>
      </c>
      <c r="L55">
        <v>54.513462161235203</v>
      </c>
      <c r="M55">
        <v>13</v>
      </c>
      <c r="N55" t="s">
        <v>117</v>
      </c>
      <c r="O55">
        <v>4</v>
      </c>
      <c r="P55">
        <v>79.867966462334195</v>
      </c>
      <c r="Q55" t="s">
        <v>360</v>
      </c>
      <c r="R55">
        <v>14.543077948000001</v>
      </c>
      <c r="S55">
        <v>16.544367662666701</v>
      </c>
      <c r="T55">
        <v>15.6</v>
      </c>
      <c r="U55">
        <v>0</v>
      </c>
      <c r="V55">
        <v>20</v>
      </c>
      <c r="W55">
        <v>3.096288666919663</v>
      </c>
    </row>
    <row r="56" spans="1:23">
      <c r="A56" t="s">
        <v>765</v>
      </c>
      <c r="B56" t="s">
        <v>144</v>
      </c>
      <c r="C56">
        <v>0</v>
      </c>
      <c r="D56" t="s">
        <v>144</v>
      </c>
      <c r="E56" t="s">
        <v>36</v>
      </c>
      <c r="F56">
        <v>147343.022069951</v>
      </c>
      <c r="G56">
        <v>147340.59304400001</v>
      </c>
      <c r="H56">
        <v>16.485517379842101</v>
      </c>
      <c r="I56">
        <v>7700727.1875</v>
      </c>
      <c r="J56">
        <v>6.0673717677816104</v>
      </c>
      <c r="K56">
        <v>1.7456609907924601</v>
      </c>
      <c r="L56">
        <v>49.488027914920103</v>
      </c>
      <c r="M56">
        <v>12</v>
      </c>
      <c r="N56" t="s">
        <v>362</v>
      </c>
      <c r="O56">
        <v>4</v>
      </c>
      <c r="P56">
        <v>103.432074299606</v>
      </c>
      <c r="Q56" t="s">
        <v>363</v>
      </c>
      <c r="R56">
        <v>15.175690577599999</v>
      </c>
      <c r="S56">
        <v>16.956100773066701</v>
      </c>
      <c r="T56">
        <v>15.39</v>
      </c>
      <c r="U56">
        <v>0</v>
      </c>
      <c r="V56">
        <v>21</v>
      </c>
      <c r="W56">
        <v>2.1199667666127691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DF5A-94D5-416A-94BA-8E11229579E9}">
  <dimension ref="A1:C22"/>
  <sheetViews>
    <sheetView workbookViewId="0">
      <selection activeCell="C33" sqref="C33"/>
    </sheetView>
  </sheetViews>
  <sheetFormatPr defaultRowHeight="15"/>
  <cols>
    <col min="1" max="1" width="9.140625" style="39"/>
    <col min="2" max="2" width="38.28515625" style="39" bestFit="1" customWidth="1"/>
    <col min="3" max="3" width="52.5703125" style="39" bestFit="1" customWidth="1"/>
    <col min="4" max="16384" width="9.140625" style="39"/>
  </cols>
  <sheetData>
    <row r="1" spans="1:3">
      <c r="A1" s="38" t="s">
        <v>756</v>
      </c>
      <c r="B1" s="38" t="s">
        <v>1</v>
      </c>
      <c r="C1" s="38" t="s">
        <v>4</v>
      </c>
    </row>
    <row r="2" spans="1:3">
      <c r="A2" s="39">
        <v>4</v>
      </c>
      <c r="B2" s="39" t="s">
        <v>19</v>
      </c>
      <c r="C2" s="39" t="s">
        <v>20</v>
      </c>
    </row>
    <row r="3" spans="1:3">
      <c r="A3" s="39">
        <v>9</v>
      </c>
      <c r="B3" s="39" t="s">
        <v>19</v>
      </c>
      <c r="C3" s="39" t="s">
        <v>23</v>
      </c>
    </row>
    <row r="4" spans="1:3">
      <c r="A4" s="39">
        <v>14</v>
      </c>
      <c r="B4" s="39" t="s">
        <v>25</v>
      </c>
      <c r="C4" s="39" t="s">
        <v>20</v>
      </c>
    </row>
    <row r="5" spans="1:3">
      <c r="A5" s="39">
        <v>11</v>
      </c>
      <c r="B5" s="39" t="s">
        <v>19</v>
      </c>
      <c r="C5" s="39" t="s">
        <v>27</v>
      </c>
    </row>
    <row r="6" spans="1:3">
      <c r="A6" s="39">
        <v>17</v>
      </c>
      <c r="B6" s="39" t="s">
        <v>29</v>
      </c>
      <c r="C6" s="39" t="s">
        <v>20</v>
      </c>
    </row>
    <row r="7" spans="1:3">
      <c r="A7" s="39">
        <v>16</v>
      </c>
      <c r="B7" s="39" t="s">
        <v>25</v>
      </c>
      <c r="C7" s="39" t="s">
        <v>23</v>
      </c>
    </row>
    <row r="8" spans="1:3">
      <c r="A8" s="39">
        <v>19</v>
      </c>
      <c r="B8" s="39" t="s">
        <v>29</v>
      </c>
      <c r="C8" s="39" t="s">
        <v>23</v>
      </c>
    </row>
    <row r="9" spans="1:3">
      <c r="A9" s="39">
        <v>10</v>
      </c>
      <c r="B9" s="39" t="s">
        <v>19</v>
      </c>
      <c r="C9" s="39" t="s">
        <v>190</v>
      </c>
    </row>
    <row r="10" spans="1:3">
      <c r="A10" s="39">
        <v>5</v>
      </c>
      <c r="B10" s="39" t="s">
        <v>19</v>
      </c>
      <c r="C10" s="39" t="s">
        <v>269</v>
      </c>
    </row>
    <row r="11" spans="1:3">
      <c r="A11" s="39">
        <v>3</v>
      </c>
      <c r="B11" s="39" t="s">
        <v>19</v>
      </c>
      <c r="C11" s="39" t="s">
        <v>247</v>
      </c>
    </row>
    <row r="12" spans="1:3">
      <c r="A12" s="39">
        <v>7</v>
      </c>
      <c r="B12" s="39" t="s">
        <v>19</v>
      </c>
      <c r="C12" s="39" t="s">
        <v>313</v>
      </c>
    </row>
    <row r="13" spans="1:3">
      <c r="A13" s="39">
        <v>15</v>
      </c>
      <c r="B13" s="39" t="s">
        <v>25</v>
      </c>
      <c r="C13" s="39" t="s">
        <v>269</v>
      </c>
    </row>
    <row r="14" spans="1:3">
      <c r="A14" s="39">
        <v>18</v>
      </c>
      <c r="B14" s="39" t="s">
        <v>29</v>
      </c>
      <c r="C14" s="39" t="s">
        <v>269</v>
      </c>
    </row>
    <row r="15" spans="1:3">
      <c r="A15" s="39">
        <v>2</v>
      </c>
      <c r="B15" s="39" t="s">
        <v>61</v>
      </c>
      <c r="C15" s="39" t="s">
        <v>280</v>
      </c>
    </row>
    <row r="16" spans="1:3">
      <c r="A16" s="39">
        <v>6</v>
      </c>
      <c r="B16" s="39" t="s">
        <v>19</v>
      </c>
      <c r="C16" s="39" t="s">
        <v>345</v>
      </c>
    </row>
    <row r="17" spans="1:3">
      <c r="A17" s="39">
        <v>13</v>
      </c>
      <c r="B17" s="39" t="s">
        <v>347</v>
      </c>
      <c r="C17" s="39" t="s">
        <v>345</v>
      </c>
    </row>
    <row r="18" spans="1:3">
      <c r="A18" s="39">
        <v>8</v>
      </c>
      <c r="B18" s="39" t="s">
        <v>19</v>
      </c>
      <c r="C18" s="39" t="s">
        <v>280</v>
      </c>
    </row>
    <row r="19" spans="1:3">
      <c r="A19" s="39">
        <v>12</v>
      </c>
      <c r="B19" s="39" t="s">
        <v>19</v>
      </c>
      <c r="C19" s="39" t="s">
        <v>287</v>
      </c>
    </row>
    <row r="20" spans="1:3">
      <c r="A20" s="39">
        <v>1</v>
      </c>
      <c r="B20" s="39" t="s">
        <v>61</v>
      </c>
      <c r="C20" s="39" t="s">
        <v>62</v>
      </c>
    </row>
    <row r="21" spans="1:3">
      <c r="A21" s="39">
        <v>20</v>
      </c>
      <c r="B21" s="39" t="s">
        <v>144</v>
      </c>
      <c r="C21" s="39" t="s">
        <v>216</v>
      </c>
    </row>
    <row r="22" spans="1:3">
      <c r="A22" s="39">
        <v>21</v>
      </c>
      <c r="B22" s="39" t="s">
        <v>144</v>
      </c>
      <c r="C22" s="39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 results</vt:lpstr>
      <vt:lpstr>1</vt:lpstr>
      <vt:lpstr>2</vt:lpstr>
      <vt:lpstr>5</vt:lpstr>
      <vt:lpstr>24</vt:lpstr>
      <vt:lpstr>48</vt:lpstr>
      <vt:lpstr>72</vt:lpstr>
      <vt:lpstr>96</vt:lpstr>
      <vt:lpstr>168</vt:lpstr>
      <vt:lpstr>LIst of glycans</vt:lpstr>
      <vt:lpstr>DAR summary</vt:lpstr>
      <vt:lpstr>Species_ID_mapping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Barbero</dc:creator>
  <cp:lastModifiedBy>Andrea Di Ianni</cp:lastModifiedBy>
  <cp:lastPrinted>2023-10-30T13:19:44Z</cp:lastPrinted>
  <dcterms:created xsi:type="dcterms:W3CDTF">2019-09-24T12:10:28Z</dcterms:created>
  <dcterms:modified xsi:type="dcterms:W3CDTF">2025-12-18T11:28:13Z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fe20e3cd-7ab7-4500-894f-1adf047aeb55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